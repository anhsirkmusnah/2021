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INPUT" sheetId="2" state="visible" r:id="rId2"/>
    <sheet xmlns:r="http://schemas.openxmlformats.org/officeDocument/2006/relationships" name="ESTIMATE" sheetId="3" state="visible" r:id="rId3"/>
    <sheet xmlns:r="http://schemas.openxmlformats.org/officeDocument/2006/relationships" name="UNITS" sheetId="4" state="visible" r:id="rId4"/>
    <sheet xmlns:r="http://schemas.openxmlformats.org/officeDocument/2006/relationships" name="TIMELINE" sheetId="5" state="visible" r:id="rId5"/>
    <sheet xmlns:r="http://schemas.openxmlformats.org/officeDocument/2006/relationships"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"/>
    <numFmt numFmtId="165" formatCode="0.0000"/>
    <numFmt numFmtId="166" formatCode="0.0"/>
    <numFmt numFmtId="167" formatCode="0.0%"/>
  </numFmts>
  <fonts count="18">
    <font>
      <name val="Calibri"/>
      <family val="2"/>
      <color theme="1"/>
      <sz val="11"/>
      <scheme val="minor"/>
    </font>
    <font>
      <b val="1"/>
      <color rgb="002C3E50"/>
      <sz val="14"/>
    </font>
    <font>
      <b val="1"/>
      <color rgb="002C3E50"/>
      <sz val="11"/>
    </font>
    <font>
      <color rgb="00333333"/>
    </font>
    <font>
      <b val="1"/>
      <color rgb="00FFFFFF"/>
    </font>
    <font>
      <b val="1"/>
      <color rgb="00333333"/>
    </font>
    <font>
      <b val="1"/>
    </font>
    <font>
      <i val="1"/>
      <color rgb="007F8C8D"/>
    </font>
    <font>
      <b val="1"/>
      <color rgb="00FFFFFF"/>
      <sz val="11"/>
    </font>
    <font>
      <b val="1"/>
      <color rgb="002C3E50"/>
      <sz val="10"/>
    </font>
    <font>
      <color rgb="002C3E50"/>
      <sz val="10"/>
    </font>
    <font>
      <b val="1"/>
      <color rgb="00FFFFFF"/>
      <sz val="10"/>
    </font>
    <font>
      <b val="1"/>
      <color rgb="003C4A3B"/>
      <sz val="10"/>
    </font>
    <font>
      <color rgb="003C4A3B"/>
      <sz val="10"/>
    </font>
    <font>
      <b val="1"/>
      <color rgb="002C3E50"/>
      <sz val="12"/>
    </font>
    <font>
      <b val="1"/>
      <color rgb="00CC0000"/>
    </font>
    <font>
      <color rgb="00444444"/>
      <sz val="9"/>
    </font>
    <font>
      <b val="1"/>
      <color rgb="002C3E50"/>
      <sz val="16"/>
    </font>
  </fonts>
  <fills count="13">
    <fill>
      <patternFill/>
    </fill>
    <fill>
      <patternFill patternType="gray125"/>
    </fill>
    <fill>
      <patternFill patternType="solid">
        <fgColor rgb="00D0DCE8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44546A"/>
      </patternFill>
    </fill>
    <fill>
      <patternFill patternType="solid">
        <fgColor rgb="00D6DCE4"/>
      </patternFill>
    </fill>
    <fill>
      <patternFill patternType="solid">
        <fgColor rgb="00F5F0E8"/>
      </patternFill>
    </fill>
    <fill>
      <patternFill patternType="solid">
        <fgColor rgb="005B7B5E"/>
      </patternFill>
    </fill>
    <fill>
      <patternFill patternType="solid">
        <fgColor rgb="00FDF6EC"/>
      </patternFill>
    </fill>
    <fill>
      <patternFill patternType="solid">
        <fgColor rgb="00E8F0E4"/>
      </patternFill>
    </fill>
    <fill>
      <patternFill patternType="solid">
        <fgColor rgb="00F5F5F0"/>
      </patternFill>
    </fill>
    <fill>
      <patternFill patternType="solid">
        <fgColor rgb="00FCE4B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0" borderId="0" pivotButton="0" quotePrefix="0" xfId="0"/>
    <xf numFmtId="0" fontId="8" fillId="5" borderId="1" pivotButton="0" quotePrefix="0" xfId="0"/>
    <xf numFmtId="0" fontId="2" fillId="0" borderId="0" pivotButton="0" quotePrefix="0" xfId="0"/>
    <xf numFmtId="0" fontId="9" fillId="7" borderId="1" applyAlignment="1" pivotButton="0" quotePrefix="0" xfId="0">
      <alignment vertical="top" wrapText="1"/>
    </xf>
    <xf numFmtId="0" fontId="10" fillId="7" borderId="1" applyAlignment="1" pivotButton="0" quotePrefix="0" xfId="0">
      <alignment vertical="top" wrapText="1"/>
    </xf>
    <xf numFmtId="0" fontId="3" fillId="0" borderId="0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4" fillId="5" borderId="0" pivotButton="0" quotePrefix="0" xfId="0"/>
    <xf numFmtId="0" fontId="5" fillId="6" borderId="1" pivotButton="0" quotePrefix="0" xfId="0"/>
    <xf numFmtId="0" fontId="3" fillId="0" borderId="1" pivotButton="0" quotePrefix="0" xfId="0"/>
    <xf numFmtId="164" fontId="0" fillId="2" borderId="1" pivotButton="0" quotePrefix="0" xfId="0"/>
    <xf numFmtId="9" fontId="0" fillId="3" borderId="1" pivotButton="0" quotePrefix="0" xfId="0"/>
    <xf numFmtId="164" fontId="0" fillId="4" borderId="1" pivotButton="0" quotePrefix="0" xfId="0"/>
    <xf numFmtId="9" fontId="0" fillId="2" borderId="1" pivotButton="0" quotePrefix="0" xfId="0"/>
    <xf numFmtId="0" fontId="6" fillId="0" borderId="1" pivotButton="0" quotePrefix="0" xfId="0"/>
    <xf numFmtId="1" fontId="0" fillId="2" borderId="1" pivotButton="0" quotePrefix="0" xfId="0"/>
    <xf numFmtId="0" fontId="7" fillId="0" borderId="1" applyAlignment="1" pivotButton="0" quotePrefix="0" xfId="0">
      <alignment vertical="top" wrapText="1"/>
    </xf>
    <xf numFmtId="2" fontId="0" fillId="4" borderId="1" pivotButton="0" quotePrefix="0" xfId="0"/>
    <xf numFmtId="0" fontId="0" fillId="0" borderId="1" pivotButton="0" quotePrefix="0" xfId="0"/>
    <xf numFmtId="0" fontId="7" fillId="0" borderId="1" pivotButton="0" quotePrefix="0" xfId="0"/>
    <xf numFmtId="2" fontId="0" fillId="2" borderId="1" pivotButton="0" quotePrefix="0" xfId="0"/>
    <xf numFmtId="0" fontId="11" fillId="8" borderId="1" pivotButton="0" quotePrefix="0" xfId="0"/>
    <xf numFmtId="0" fontId="12" fillId="9" borderId="1" applyAlignment="1" pivotButton="0" quotePrefix="0" xfId="0">
      <alignment vertical="top" wrapText="1"/>
    </xf>
    <xf numFmtId="0" fontId="13" fillId="9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/>
    </xf>
    <xf numFmtId="0" fontId="14" fillId="0" borderId="1" pivotButton="0" quotePrefix="0" xfId="0"/>
    <xf numFmtId="2" fontId="14" fillId="4" borderId="1" pivotButton="0" quotePrefix="0" xfId="0"/>
    <xf numFmtId="0" fontId="7" fillId="0" borderId="0" pivotButton="0" quotePrefix="0" xfId="0"/>
    <xf numFmtId="0" fontId="3" fillId="0" borderId="1" applyAlignment="1" pivotButton="0" quotePrefix="0" xfId="0">
      <alignment vertical="top" wrapText="1"/>
    </xf>
    <xf numFmtId="9" fontId="0" fillId="4" borderId="1" pivotButton="0" quotePrefix="0" xfId="0"/>
    <xf numFmtId="0" fontId="6" fillId="4" borderId="1" pivotButton="0" quotePrefix="0" xfId="0"/>
    <xf numFmtId="0" fontId="15" fillId="4" borderId="1" pivotButton="0" quotePrefix="0" xfId="0"/>
    <xf numFmtId="0" fontId="5" fillId="6" borderId="0" pivotButton="0" quotePrefix="0" xfId="0"/>
    <xf numFmtId="165" fontId="0" fillId="4" borderId="1" pivotButton="0" quotePrefix="0" xfId="0"/>
    <xf numFmtId="0" fontId="5" fillId="10" borderId="1" applyAlignment="1" pivotButton="0" quotePrefix="0" xfId="0">
      <alignment horizontal="center" wrapText="1"/>
    </xf>
    <xf numFmtId="0" fontId="6" fillId="10" borderId="1" pivotButton="0" quotePrefix="0" xfId="0"/>
    <xf numFmtId="0" fontId="0" fillId="4" borderId="1" applyAlignment="1" pivotButton="0" quotePrefix="0" xfId="0">
      <alignment horizontal="center"/>
    </xf>
    <xf numFmtId="0" fontId="16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/>
    </xf>
    <xf numFmtId="9" fontId="0" fillId="3" borderId="1" applyAlignment="1" pivotButton="0" quotePrefix="0" xfId="0">
      <alignment horizontal="center"/>
    </xf>
    <xf numFmtId="166" fontId="0" fillId="4" borderId="1" applyAlignment="1" pivotButton="0" quotePrefix="0" xfId="0">
      <alignment horizontal="center"/>
    </xf>
    <xf numFmtId="166" fontId="0" fillId="2" borderId="1" applyAlignment="1" pivotButton="0" quotePrefix="0" xfId="0">
      <alignment horizontal="center"/>
    </xf>
    <xf numFmtId="165" fontId="0" fillId="11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164" fontId="0" fillId="4" borderId="1" applyAlignment="1" pivotButton="0" quotePrefix="0" xfId="0">
      <alignment horizontal="center"/>
    </xf>
    <xf numFmtId="9" fontId="0" fillId="2" borderId="1" applyAlignment="1" pivotButton="0" quotePrefix="0" xfId="0">
      <alignment horizontal="center"/>
    </xf>
    <xf numFmtId="9" fontId="0" fillId="4" borderId="1" applyAlignment="1" pivotButton="0" quotePrefix="0" xfId="0">
      <alignment horizontal="center"/>
    </xf>
    <xf numFmtId="164" fontId="6" fillId="12" borderId="1" applyAlignment="1" pivotButton="0" quotePrefix="0" xfId="0">
      <alignment horizontal="center"/>
    </xf>
    <xf numFmtId="164" fontId="6" fillId="4" borderId="1" pivotButton="0" quotePrefix="0" xfId="0"/>
    <xf numFmtId="0" fontId="1" fillId="0" borderId="1" pivotButton="0" quotePrefix="0" xfId="0"/>
    <xf numFmtId="164" fontId="1" fillId="12" borderId="1" pivotButton="0" quotePrefix="0" xfId="0"/>
    <xf numFmtId="164" fontId="6" fillId="12" borderId="1" pivotButton="0" quotePrefix="0" xfId="0"/>
    <xf numFmtId="164" fontId="14" fillId="12" borderId="1" pivotButton="0" quotePrefix="0" xfId="0"/>
    <xf numFmtId="166" fontId="0" fillId="4" borderId="1" pivotButton="0" quotePrefix="0" xfId="0"/>
    <xf numFmtId="0" fontId="0" fillId="11" borderId="1" pivotButton="0" quotePrefix="0" xfId="0"/>
    <xf numFmtId="0" fontId="6" fillId="0" borderId="0" pivotButton="0" quotePrefix="0" xfId="0"/>
    <xf numFmtId="0" fontId="0" fillId="4" borderId="0" pivotButton="0" quotePrefix="0" xfId="0"/>
    <xf numFmtId="0" fontId="17" fillId="0" borderId="0" pivotButton="0" quotePrefix="0" xfId="0"/>
    <xf numFmtId="164" fontId="17" fillId="12" borderId="0" pivotButton="0" quotePrefix="0" xfId="0"/>
    <xf numFmtId="167" fontId="0" fillId="4" borderId="1" pivotButton="0" quotePrefix="0" xfId="0"/>
    <xf numFmtId="1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8" customWidth="1" min="8" max="8"/>
    <col width="62" customWidth="1" min="9" max="9"/>
  </cols>
  <sheetData>
    <row r="1">
      <c r="A1" s="1" t="inlineStr">
        <is>
          <t>IBM Cybersecurity Services — Quantum Safe Transformation</t>
        </is>
      </c>
      <c r="H1" s="2" t="inlineStr">
        <is>
          <t>HOW TO USE THIS SHEET (CONFIG)</t>
        </is>
      </c>
      <c r="I1" s="2" t="n"/>
    </row>
    <row r="2">
      <c r="A2" s="3" t="inlineStr">
        <is>
          <t>CELL TYPE GUIDE:</t>
        </is>
      </c>
      <c r="H2" s="4" t="inlineStr">
        <is>
          <t>PURPOSE:</t>
        </is>
      </c>
      <c r="I2" s="5" t="inlineStr">
        <is>
          <t>Central configuration sheet. Contains IBM-standard rates, delivery parameters, maturity assessment, and learning curve definitions. All other sheets pull values from here.</t>
        </is>
      </c>
    </row>
    <row r="3">
      <c r="A3" s="6" t="inlineStr">
        <is>
          <t xml:space="preserve">  IBM Standard — do not modify</t>
        </is>
      </c>
      <c r="B3" s="7" t="n"/>
      <c r="H3" s="4" t="inlineStr">
        <is>
          <t>WHO FILLS THIS IN:</t>
        </is>
      </c>
      <c r="I3" s="5" t="inlineStr">
        <is>
          <t>IBM pre-populates steel-blue cells with standard rates. The ITSO adjusts cream-colored cells to reflect the client's delivery model and organizational maturity.</t>
        </is>
      </c>
    </row>
    <row r="4">
      <c r="A4" s="6" t="inlineStr">
        <is>
          <t xml:space="preserve">  Client Input — please fill in</t>
        </is>
      </c>
      <c r="B4" s="8" t="n"/>
      <c r="H4" s="4" t="inlineStr">
        <is>
          <t>DATA FLOW:</t>
        </is>
      </c>
      <c r="I4" s="5" t="inlineStr">
        <is>
          <t>CONFIG feeds UNITS (blended rates per unit type, risk %, CG&amp;E %, maturity multiplier, learning curve) and TIMELINE (CG&amp;E %, maturity multiplier)</t>
        </is>
      </c>
    </row>
    <row r="5">
      <c r="A5" s="6" t="inlineStr">
        <is>
          <t xml:space="preserve">  Calculated — auto-computed</t>
        </is>
      </c>
      <c r="B5" s="9" t="n"/>
    </row>
    <row r="6">
      <c r="A6" s="10" t="inlineStr">
        <is>
          <t>RATE CARD</t>
        </is>
      </c>
      <c r="B6" s="10" t="n"/>
      <c r="C6" s="10" t="n"/>
      <c r="D6" s="10" t="n"/>
      <c r="E6" s="10" t="n"/>
      <c r="F6" s="10" t="n"/>
      <c r="G6" s="10" t="n"/>
      <c r="H6" s="4" t="inlineStr">
        <is>
          <t>SECTION: RATE CARD</t>
        </is>
      </c>
      <c r="I6" s="5" t="inlineStr">
        <is>
          <t>Hourly/monthly rates for 5 role tiers, split by delivery location (onshore vs offshore). Blended rate is auto-calculated.</t>
        </is>
      </c>
    </row>
    <row r="7">
      <c r="A7" s="11" t="inlineStr">
        <is>
          <t>Role Tier</t>
        </is>
      </c>
      <c r="B7" s="11" t="inlineStr">
        <is>
          <t>Onshore Rate (USD/mo)</t>
        </is>
      </c>
      <c r="C7" s="11" t="inlineStr">
        <is>
          <t>Offshore Rate (USD/mo)</t>
        </is>
      </c>
      <c r="D7" s="11" t="inlineStr">
        <is>
          <t>Onshore %</t>
        </is>
      </c>
      <c r="E7" s="11" t="inlineStr">
        <is>
          <t>Offshore %</t>
        </is>
      </c>
      <c r="F7" s="11" t="inlineStr">
        <is>
          <t>Blended Role Rate (USD/mo)</t>
        </is>
      </c>
      <c r="H7" s="4" t="inlineStr">
        <is>
          <t>Row</t>
        </is>
      </c>
      <c r="I7" s="4" t="inlineStr">
        <is>
          <t>Explanation</t>
        </is>
      </c>
    </row>
    <row r="8">
      <c r="A8" s="12" t="inlineStr">
        <is>
          <t>Architect / SME</t>
        </is>
      </c>
      <c r="B8" s="13" t="n">
        <v>28000</v>
      </c>
      <c r="C8" s="13" t="n">
        <v>12000</v>
      </c>
      <c r="D8" s="14" t="n">
        <v>0.4</v>
      </c>
      <c r="E8" s="14" t="n">
        <v>0.6</v>
      </c>
      <c r="F8" s="15">
        <f>B8*D8+C8*E8</f>
        <v/>
      </c>
      <c r="H8" s="5" t="inlineStr">
        <is>
          <t>Architect / SME</t>
        </is>
      </c>
      <c r="I8" s="5" t="inlineStr">
        <is>
          <t>Senior cryptography experts, solution architects. Highest rate. Used heavily in Discovery, Design, and CMU/PKI work.</t>
        </is>
      </c>
    </row>
    <row r="9">
      <c r="A9" s="12" t="inlineStr">
        <is>
          <t>Senior Engineer</t>
        </is>
      </c>
      <c r="B9" s="13" t="n">
        <v>24000</v>
      </c>
      <c r="C9" s="13" t="n">
        <v>10000</v>
      </c>
      <c r="D9" s="14" t="n">
        <v>0.35</v>
      </c>
      <c r="E9" s="14" t="n">
        <v>0.65</v>
      </c>
      <c r="F9" s="15">
        <f>B9*D9+C9*E9</f>
        <v/>
      </c>
      <c r="H9" s="5" t="inlineStr">
        <is>
          <t>Senior Engineer</t>
        </is>
      </c>
      <c r="I9" s="5" t="inlineStr">
        <is>
          <t>Experienced developers who lead implementation. Core of most unit types.</t>
        </is>
      </c>
    </row>
    <row r="10">
      <c r="A10" s="12" t="inlineStr">
        <is>
          <t>Developer</t>
        </is>
      </c>
      <c r="B10" s="13" t="n">
        <v>20000</v>
      </c>
      <c r="C10" s="13" t="n">
        <v>8000</v>
      </c>
      <c r="D10" s="14" t="n">
        <v>0.3</v>
      </c>
      <c r="E10" s="14" t="n">
        <v>0.7</v>
      </c>
      <c r="F10" s="15">
        <f>B10*D10+C10*E10</f>
        <v/>
      </c>
      <c r="H10" s="5" t="inlineStr">
        <is>
          <t>Developer</t>
        </is>
      </c>
      <c r="I10" s="5" t="inlineStr">
        <is>
          <t>Mid-level developers doing bulk implementation. Dominant role in AMU and DMU.</t>
        </is>
      </c>
    </row>
    <row r="11">
      <c r="A11" s="12" t="inlineStr">
        <is>
          <t>Tester / QA</t>
        </is>
      </c>
      <c r="B11" s="13" t="n">
        <v>18000</v>
      </c>
      <c r="C11" s="13" t="n">
        <v>7000</v>
      </c>
      <c r="D11" s="14" t="n">
        <v>0.25</v>
      </c>
      <c r="E11" s="14" t="n">
        <v>0.75</v>
      </c>
      <c r="F11" s="15">
        <f>B11*D11+C11*E11</f>
        <v/>
      </c>
      <c r="H11" s="5" t="inlineStr">
        <is>
          <t>Tester / QA</t>
        </is>
      </c>
      <c r="I11" s="5" t="inlineStr">
        <is>
          <t>Security testers, pen testers, regression test engineers. Key in Phase 4.</t>
        </is>
      </c>
    </row>
    <row r="12">
      <c r="A12" s="12" t="inlineStr">
        <is>
          <t>Project Manager</t>
        </is>
      </c>
      <c r="B12" s="13" t="n">
        <v>26000</v>
      </c>
      <c r="C12" s="13" t="n">
        <v>11000</v>
      </c>
      <c r="D12" s="14" t="n">
        <v>0.4</v>
      </c>
      <c r="E12" s="14" t="n">
        <v>0.6</v>
      </c>
      <c r="F12" s="15">
        <f>B12*D12+C12*E12</f>
        <v/>
      </c>
      <c r="H12" s="5" t="inlineStr">
        <is>
          <t>Project Manager</t>
        </is>
      </c>
      <c r="I12" s="5" t="inlineStr">
        <is>
          <t>Engagement/delivery managers. Higher proportion in governance-heavy units (FAU, VTU).</t>
        </is>
      </c>
    </row>
    <row r="13">
      <c r="H13" s="4" t="inlineStr">
        <is>
          <t>FORMULA:</t>
        </is>
      </c>
      <c r="I13" s="5" t="inlineStr">
        <is>
          <t>Blended Role Rate = (Onshore Rate x Onshore %) + (Offshore Rate x Offshore %)
Example: Architect = ($28,000 x 40%) + ($12,000 x 60%) = $18,400/mo</t>
        </is>
      </c>
    </row>
    <row r="14">
      <c r="A14" s="10" t="inlineStr">
        <is>
          <t>BLENDED RATE BY UNIT TYPE</t>
        </is>
      </c>
      <c r="B14" s="10" t="n"/>
      <c r="C14" s="10" t="n"/>
      <c r="D14" s="10" t="n"/>
      <c r="E14" s="10" t="n"/>
      <c r="F14" s="10" t="n"/>
      <c r="G14" s="10" t="n"/>
      <c r="H14" s="4" t="inlineStr">
        <is>
          <t>SECTION: BLENDED RATE BY UNIT</t>
        </is>
      </c>
      <c r="I14" s="5" t="inlineStr">
        <is>
          <t>Each unit type has a different role mix. FAU is governance-heavy (more PM, Architect). AMU is implementation-heavy (more Developers). The blended unit rate = role mix x role rates.</t>
        </is>
      </c>
    </row>
    <row r="15">
      <c r="A15" s="11" t="inlineStr">
        <is>
          <t>Unit Type</t>
        </is>
      </c>
      <c r="B15" s="11" t="inlineStr">
        <is>
          <t>Architect %</t>
        </is>
      </c>
      <c r="C15" s="11" t="inlineStr">
        <is>
          <t>Sr Engineer %</t>
        </is>
      </c>
      <c r="D15" s="11" t="inlineStr">
        <is>
          <t>Developer %</t>
        </is>
      </c>
      <c r="E15" s="11" t="inlineStr">
        <is>
          <t>Tester %</t>
        </is>
      </c>
      <c r="F15" s="11" t="inlineStr">
        <is>
          <t>PM %</t>
        </is>
      </c>
      <c r="G15" s="11" t="inlineStr">
        <is>
          <t>Blended Unit Rate (USD/mo)</t>
        </is>
      </c>
      <c r="H15" s="4" t="inlineStr">
        <is>
          <t>Row</t>
        </is>
      </c>
      <c r="I15" s="4" t="inlineStr">
        <is>
          <t>Explanation</t>
        </is>
      </c>
    </row>
    <row r="16">
      <c r="A16" s="12" t="inlineStr">
        <is>
          <t>FAU</t>
        </is>
      </c>
      <c r="B16" s="16" t="n">
        <v>0.2</v>
      </c>
      <c r="C16" s="16" t="n">
        <v>0.3</v>
      </c>
      <c r="D16" s="16" t="n">
        <v>0.2</v>
      </c>
      <c r="E16" s="16" t="n">
        <v>0.1</v>
      </c>
      <c r="F16" s="16" t="n">
        <v>0.2</v>
      </c>
      <c r="G16" s="15">
        <f>B16*$F$8+C16*$F$9+D16*$F$10+E16*$F$11+F16*$F$12</f>
        <v/>
      </c>
      <c r="H16" s="5" t="inlineStr">
        <is>
          <t>FAU</t>
        </is>
      </c>
      <c r="I16" s="5" t="inlineStr">
        <is>
          <t>Governance-focused: 20% Arch, 30% Sr, 20% Dev, 10% Test, 20% PM. High PM/Arch mix for cross-unit coordination.</t>
        </is>
      </c>
    </row>
    <row r="17">
      <c r="A17" s="12" t="inlineStr">
        <is>
          <t>NMU</t>
        </is>
      </c>
      <c r="B17" s="16" t="n">
        <v>0.15</v>
      </c>
      <c r="C17" s="16" t="n">
        <v>0.25</v>
      </c>
      <c r="D17" s="16" t="n">
        <v>0.35</v>
      </c>
      <c r="E17" s="16" t="n">
        <v>0.15</v>
      </c>
      <c r="F17" s="16" t="n">
        <v>0.1</v>
      </c>
      <c r="G17" s="15">
        <f>B17*$F$8+C17*$F$9+D17*$F$10+E17*$F$11+F17*$F$12</f>
        <v/>
      </c>
      <c r="H17" s="5" t="inlineStr">
        <is>
          <t>NMU</t>
        </is>
      </c>
      <c r="I17" s="5" t="inlineStr">
        <is>
          <t>Network/infra: 15% Arch, 25% Sr, 35% Dev, 15% Test, 10% PM. Developer-heavy for config automation.</t>
        </is>
      </c>
    </row>
    <row r="18">
      <c r="A18" s="12" t="inlineStr">
        <is>
          <t>AMU</t>
        </is>
      </c>
      <c r="B18" s="16" t="n">
        <v>0.1</v>
      </c>
      <c r="C18" s="16" t="n">
        <v>0.2</v>
      </c>
      <c r="D18" s="16" t="n">
        <v>0.4</v>
      </c>
      <c r="E18" s="16" t="n">
        <v>0.2</v>
      </c>
      <c r="F18" s="16" t="n">
        <v>0.1</v>
      </c>
      <c r="G18" s="15">
        <f>B18*$F$8+C18*$F$9+D18*$F$10+E18*$F$11+F18*$F$12</f>
        <v/>
      </c>
      <c r="H18" s="5" t="inlineStr">
        <is>
          <t>AMU</t>
        </is>
      </c>
      <c r="I18" s="5" t="inlineStr">
        <is>
          <t>Largest unit (8000 apps): 10% Arch, 20% Sr, 40% Dev, 20% Test, 10% PM. Factory model.</t>
        </is>
      </c>
    </row>
    <row r="19">
      <c r="A19" s="12" t="inlineStr">
        <is>
          <t>PMU</t>
        </is>
      </c>
      <c r="B19" s="16" t="n">
        <v>0.15</v>
      </c>
      <c r="C19" s="16" t="n">
        <v>0.25</v>
      </c>
      <c r="D19" s="16" t="n">
        <v>0.3</v>
      </c>
      <c r="E19" s="16" t="n">
        <v>0.2</v>
      </c>
      <c r="F19" s="16" t="n">
        <v>0.1</v>
      </c>
      <c r="G19" s="15">
        <f>B19*$F$8+C19*$F$9+D19*$F$10+E19*$F$11+F19*$F$12</f>
        <v/>
      </c>
      <c r="H19" s="5" t="inlineStr">
        <is>
          <t>PMU</t>
        </is>
      </c>
      <c r="I19" s="5" t="inlineStr">
        <is>
          <t>Platform/cloud: 15% Arch, 25% Sr, 30% Dev, 20% Test, 10% PM.</t>
        </is>
      </c>
    </row>
    <row r="20">
      <c r="A20" s="12" t="inlineStr">
        <is>
          <t>CMU</t>
        </is>
      </c>
      <c r="B20" s="16" t="n">
        <v>0.2</v>
      </c>
      <c r="C20" s="16" t="n">
        <v>0.3</v>
      </c>
      <c r="D20" s="16" t="n">
        <v>0.25</v>
      </c>
      <c r="E20" s="16" t="n">
        <v>0.1</v>
      </c>
      <c r="F20" s="16" t="n">
        <v>0.15</v>
      </c>
      <c r="G20" s="15">
        <f>B20*$F$8+C20*$F$9+D20*$F$10+E20*$F$11+F20*$F$12</f>
        <v/>
      </c>
      <c r="H20" s="5" t="inlineStr">
        <is>
          <t>CMU</t>
        </is>
      </c>
      <c r="I20" s="5" t="inlineStr">
        <is>
          <t>Specialist-heavy: 20% Arch, 30% Sr, 25% Dev, 10% Test, 15% PM. Highest architect mix for PKI complexity.</t>
        </is>
      </c>
    </row>
    <row r="21">
      <c r="A21" s="12" t="inlineStr">
        <is>
          <t>DMU</t>
        </is>
      </c>
      <c r="B21" s="16" t="n">
        <v>0.1</v>
      </c>
      <c r="C21" s="16" t="n">
        <v>0.2</v>
      </c>
      <c r="D21" s="16" t="n">
        <v>0.4</v>
      </c>
      <c r="E21" s="16" t="n">
        <v>0.2</v>
      </c>
      <c r="F21" s="16" t="n">
        <v>0.1</v>
      </c>
      <c r="G21" s="15">
        <f>B21*$F$8+C21*$F$9+D21*$F$10+E21*$F$11+F21*$F$12</f>
        <v/>
      </c>
      <c r="H21" s="5" t="inlineStr">
        <is>
          <t>DMU</t>
        </is>
      </c>
      <c r="I21" s="5" t="inlineStr">
        <is>
          <t>Data migration: Same as AMU mix.</t>
        </is>
      </c>
    </row>
    <row r="22">
      <c r="A22" s="12" t="inlineStr">
        <is>
          <t>DAU</t>
        </is>
      </c>
      <c r="B22" s="16" t="n">
        <v>0.1</v>
      </c>
      <c r="C22" s="16" t="n">
        <v>0.25</v>
      </c>
      <c r="D22" s="16" t="n">
        <v>0.4</v>
      </c>
      <c r="E22" s="16" t="n">
        <v>0.15</v>
      </c>
      <c r="F22" s="16" t="n">
        <v>0.1</v>
      </c>
      <c r="G22" s="15">
        <f>B22*$F$8+C22*$F$9+D22*$F$10+E22*$F$11+F22*$F$12</f>
        <v/>
      </c>
      <c r="H22" s="5" t="inlineStr">
        <is>
          <t>DAU</t>
        </is>
      </c>
      <c r="I22" s="5" t="inlineStr">
        <is>
          <t>Pipeline/tooling: 10% Arch, 25% Sr, 40% Dev, 15% Test, 10% PM.</t>
        </is>
      </c>
    </row>
    <row r="23">
      <c r="A23" s="12" t="inlineStr">
        <is>
          <t>VTU</t>
        </is>
      </c>
      <c r="B23" s="16" t="n">
        <v>0.05</v>
      </c>
      <c r="C23" s="16" t="n">
        <v>0.15</v>
      </c>
      <c r="D23" s="16" t="n">
        <v>0.15</v>
      </c>
      <c r="E23" s="16" t="n">
        <v>0.05</v>
      </c>
      <c r="F23" s="16" t="n">
        <v>0.6</v>
      </c>
      <c r="G23" s="15">
        <f>B23*$F$8+C23*$F$9+D23*$F$10+E23*$F$11+F23*$F$12</f>
        <v/>
      </c>
      <c r="H23" s="5" t="inlineStr">
        <is>
          <t>VTU</t>
        </is>
      </c>
      <c r="I23" s="5" t="inlineStr">
        <is>
          <t>Vendor management: 5% Arch, 15% Sr, 15% Dev, 5% Test, 60% PM. Highest PM mix for coordination work.</t>
        </is>
      </c>
    </row>
    <row r="24">
      <c r="H24" s="4" t="inlineStr">
        <is>
          <t>FORMULA:</t>
        </is>
      </c>
      <c r="I24" s="5" t="inlineStr">
        <is>
          <t>Blended Unit Rate = (Arch% x Arch Rate) + (Sr% x Sr Rate) + (Dev% x Dev Rate) + (Test% x Test Rate) + (PM% x PM Rate)</t>
        </is>
      </c>
    </row>
    <row r="25">
      <c r="A25" s="10" t="inlineStr">
        <is>
          <t>GLOBAL PARAMETERS</t>
        </is>
      </c>
      <c r="B25" s="10" t="n"/>
      <c r="H25" s="4" t="inlineStr">
        <is>
          <t>SECTION: GLOBAL PARAMETERS</t>
        </is>
      </c>
      <c r="I25" s="5" t="inlineStr">
        <is>
          <t>Program-wide settings that affect all cost calculations.</t>
        </is>
      </c>
    </row>
    <row r="26">
      <c r="A26" s="17" t="inlineStr">
        <is>
          <t>Working Days per Month</t>
        </is>
      </c>
      <c r="B26" s="18" t="n">
        <v>20</v>
      </c>
      <c r="H26" s="5" t="inlineStr">
        <is>
          <t>Working Days/Month</t>
        </is>
      </c>
      <c r="I26" s="5" t="inlineStr">
        <is>
          <t>Standard = 20. Used for converting FTE-months to mandays if needed.</t>
        </is>
      </c>
    </row>
    <row r="27">
      <c r="A27" s="17" t="inlineStr">
        <is>
          <t>Risk Contingency %</t>
        </is>
      </c>
      <c r="B27" s="14" t="n">
        <v>0.2</v>
      </c>
      <c r="H27" s="5" t="inlineStr">
        <is>
          <t>Risk Contingency %</t>
        </is>
      </c>
      <c r="I27" s="5" t="inlineStr">
        <is>
          <t>Default 20%. Applied to each unit's subtotal. Industry standard 15-25% for ROM-stage estimates.</t>
        </is>
      </c>
    </row>
    <row r="28">
      <c r="A28" s="17" t="inlineStr">
        <is>
          <t>CG&amp;E (Central Governance &amp; Enablement) %</t>
        </is>
      </c>
      <c r="B28" s="14" t="n">
        <v>0.1</v>
      </c>
      <c r="H28" s="5" t="inlineStr">
        <is>
          <t>CG&amp;E %</t>
        </is>
      </c>
      <c r="I28" s="5" t="inlineStr">
        <is>
          <t>Default 10%. Covers: PMO, governance board, enterprise architecture oversight, compliance, training.</t>
        </is>
      </c>
    </row>
    <row r="30">
      <c r="A30" s="10" t="inlineStr">
        <is>
          <t>MATURITY ASSESSMENT (PQC Readiness)</t>
        </is>
      </c>
      <c r="B30" s="10" t="n"/>
      <c r="C30" s="10" t="n"/>
      <c r="H30" s="4" t="inlineStr">
        <is>
          <t>SECTION: MATURITY ASSESSMENT</t>
        </is>
      </c>
      <c r="I30" s="5" t="inlineStr">
        <is>
          <t>Based on PKI Consortium PQC Maturity Model (PQCMM). Lower maturity = higher cost.</t>
        </is>
      </c>
    </row>
    <row r="31">
      <c r="A31" s="11" t="inlineStr">
        <is>
          <t>Dimension</t>
        </is>
      </c>
      <c r="B31" s="11" t="inlineStr">
        <is>
          <t>Score (1-5)</t>
        </is>
      </c>
      <c r="C31" s="11" t="inlineStr">
        <is>
          <t>Guidance</t>
        </is>
      </c>
      <c r="H31" s="4" t="inlineStr">
        <is>
          <t>How to score:</t>
        </is>
      </c>
      <c r="I31" s="5" t="inlineStr">
        <is>
          <t>Score each dimension 1-5 based on current client state. Be honest — overestimating maturity leads to underestimating costs.</t>
        </is>
      </c>
    </row>
    <row r="32">
      <c r="A32" s="12" t="inlineStr">
        <is>
          <t>Cryptographic Inventory &amp; Visibility</t>
        </is>
      </c>
      <c r="B32" s="8" t="n">
        <v>3</v>
      </c>
      <c r="C32" s="19" t="inlineStr">
        <is>
          <t>1=None, 3=Partial CMDB, 5=Full CBOM</t>
        </is>
      </c>
      <c r="H32" s="5" t="inlineStr">
        <is>
          <t>Crypto Inventory</t>
        </is>
      </c>
      <c r="I32" s="5" t="inlineStr">
        <is>
          <t>Does the client know what crypto they use? 1=No inventory. 3=Partial CMDB. 5=Full CBOM with automated discovery.</t>
        </is>
      </c>
    </row>
    <row r="33">
      <c r="A33" s="12" t="inlineStr">
        <is>
          <t>Governance &amp; Policy Maturity</t>
        </is>
      </c>
      <c r="B33" s="8" t="n">
        <v>3</v>
      </c>
      <c r="C33" s="19" t="inlineStr">
        <is>
          <t>1=Ad-hoc, 3=Defined policies, 5=Enforced &amp; audited</t>
        </is>
      </c>
      <c r="H33" s="5" t="inlineStr">
        <is>
          <t>Governance &amp; Policy</t>
        </is>
      </c>
      <c r="I33" s="5" t="inlineStr">
        <is>
          <t>Are there crypto policies? 1=Ad-hoc. 3=Written policies, some enforcement. 5=Policies enforced via automation.</t>
        </is>
      </c>
    </row>
    <row r="34">
      <c r="A34" s="12" t="inlineStr">
        <is>
          <t>Automation &amp; Tooling Readiness</t>
        </is>
      </c>
      <c r="B34" s="8" t="n">
        <v>2</v>
      </c>
      <c r="C34" s="19" t="inlineStr">
        <is>
          <t>1=Manual, 3=Some automation, 5=Full CI/CD crypto checks</t>
        </is>
      </c>
      <c r="H34" s="5" t="inlineStr">
        <is>
          <t>Automation &amp; Tooling</t>
        </is>
      </c>
      <c r="I34" s="5" t="inlineStr">
        <is>
          <t>How automated is crypto management? 1=Manual. 3=Some automation. 5=Full CI/CD with crypto checks.</t>
        </is>
      </c>
    </row>
    <row r="35">
      <c r="A35" s="12" t="inlineStr">
        <is>
          <t>Skills &amp; Organizational Readiness</t>
        </is>
      </c>
      <c r="B35" s="8" t="n">
        <v>3</v>
      </c>
      <c r="C35" s="19" t="inlineStr">
        <is>
          <t>1=No PQC awareness, 3=Some training, 5=Dedicated team</t>
        </is>
      </c>
      <c r="H35" s="5" t="inlineStr">
        <is>
          <t>Skills &amp; Readiness</t>
        </is>
      </c>
      <c r="I35" s="5" t="inlineStr">
        <is>
          <t>Does the org understand PQC? 1=No awareness. 3=Some training. 5=Dedicated PQC team, funded program.</t>
        </is>
      </c>
    </row>
    <row r="36">
      <c r="A36" s="12" t="inlineStr">
        <is>
          <t>Architecture Modernization</t>
        </is>
      </c>
      <c r="B36" s="8" t="n">
        <v>2</v>
      </c>
      <c r="C36" s="19" t="inlineStr">
        <is>
          <t>1=Monolith/legacy, 3=Mixed, 5=Cloud-native/modular</t>
        </is>
      </c>
      <c r="H36" s="5" t="inlineStr">
        <is>
          <t>Architecture</t>
        </is>
      </c>
      <c r="I36" s="5" t="inlineStr">
        <is>
          <t>How modern is the stack? 1=Monoliths/mainframes. 3=Mixed. 5=Cloud-native, microservices, modular.</t>
        </is>
      </c>
    </row>
    <row r="37">
      <c r="A37" s="17" t="inlineStr">
        <is>
          <t>Average Maturity Score</t>
        </is>
      </c>
      <c r="B37" s="20">
        <f>AVERAGE(B32:B36)</f>
        <v/>
      </c>
      <c r="C37" s="21" t="n"/>
      <c r="H37" s="5" t="inlineStr">
        <is>
          <t>Average Score</t>
        </is>
      </c>
      <c r="I37" s="5" t="inlineStr">
        <is>
          <t>Simple average of the 5 dimension scores.</t>
        </is>
      </c>
    </row>
    <row r="38">
      <c r="A38" s="17" t="inlineStr">
        <is>
          <t>Maturity Multiplier</t>
        </is>
      </c>
      <c r="B38" s="20">
        <f>IF(B37&lt;=1.5,1.25,IF(B37&lt;=2.5,1.15,IF(B37&lt;=3.5,1.0,IF(B37&lt;=4.5,0.9,0.85))))</f>
        <v/>
      </c>
      <c r="C38" s="22" t="inlineStr">
        <is>
          <t>1.25=Immature, 1.0=Moderate, 0.85=Excellent</t>
        </is>
      </c>
      <c r="H38" s="5" t="inlineStr">
        <is>
          <t>Maturity Multiplier</t>
        </is>
      </c>
      <c r="I38" s="5" t="inlineStr">
        <is>
          <t>Maps average to cost multiplier:
  1.0-1.5 = 1.25x (25% uplift)
  1.6-2.5 = 1.15x (15% uplift)
  2.6-3.5 = 1.00x (baseline)
  3.6-4.5 = 0.90x (10% discount)
  4.6-5.0 = 0.85x (15% discount)</t>
        </is>
      </c>
    </row>
    <row r="40">
      <c r="A40" s="10" t="inlineStr">
        <is>
          <t>LEARNING CURVE (AMU)</t>
        </is>
      </c>
      <c r="B40" s="10" t="n"/>
      <c r="C40" s="10" t="n"/>
      <c r="H40" s="4" t="inlineStr">
        <is>
          <t>SECTION: LEARNING CURVE (AMU)</t>
        </is>
      </c>
      <c r="I40" s="5" t="inlineStr">
        <is>
          <t>Based on Wright's Law. As more apps are migrated, per-app cost drops from reuse, automation, and institutional knowledge.</t>
        </is>
      </c>
    </row>
    <row r="41">
      <c r="A41" s="11" t="inlineStr">
        <is>
          <t>Wave</t>
        </is>
      </c>
      <c r="B41" s="11" t="inlineStr">
        <is>
          <t>App Range</t>
        </is>
      </c>
      <c r="C41" s="11" t="inlineStr">
        <is>
          <t>Cost Multiplier</t>
        </is>
      </c>
      <c r="H41" s="4" t="inlineStr">
        <is>
          <t>How it works:</t>
        </is>
      </c>
      <c r="I41" s="5" t="inlineStr">
        <is>
          <t>8000 apps are migrated in waves. Each wave gets a cost multiplier. The blended average determines effective per-app cost reduction.</t>
        </is>
      </c>
    </row>
    <row r="42">
      <c r="A42" s="12" t="inlineStr">
        <is>
          <t>Pathfinder</t>
        </is>
      </c>
      <c r="B42" s="12" t="inlineStr">
        <is>
          <t>1 - 50</t>
        </is>
      </c>
      <c r="C42" s="23" t="n">
        <v>1.5</v>
      </c>
      <c r="H42" s="5" t="inlineStr">
        <is>
          <t>Wave 1: Pathfinder (1-50)</t>
        </is>
      </c>
      <c r="I42" s="5" t="inlineStr">
        <is>
          <t>1.5x. First 50 apps are expensive: building tooling, playbooks, training teams.</t>
        </is>
      </c>
    </row>
    <row r="43">
      <c r="A43" s="12" t="inlineStr">
        <is>
          <t>Early</t>
        </is>
      </c>
      <c r="B43" s="12" t="inlineStr">
        <is>
          <t>51 - 200</t>
        </is>
      </c>
      <c r="C43" s="23" t="n">
        <v>1</v>
      </c>
      <c r="H43" s="5" t="inlineStr">
        <is>
          <t>Wave 2: Early (51-200)</t>
        </is>
      </c>
      <c r="I43" s="5" t="inlineStr">
        <is>
          <t>1.0x (baseline). Team is ramped, basic patterns exist.</t>
        </is>
      </c>
    </row>
    <row r="44">
      <c r="A44" s="12" t="inlineStr">
        <is>
          <t>Factory</t>
        </is>
      </c>
      <c r="B44" s="12" t="inlineStr">
        <is>
          <t>201 - 1,000</t>
        </is>
      </c>
      <c r="C44" s="23" t="n">
        <v>0.65</v>
      </c>
      <c r="H44" s="5" t="inlineStr">
        <is>
          <t>Wave 3: Factory (201-1000)</t>
        </is>
      </c>
      <c r="I44" s="5" t="inlineStr">
        <is>
          <t>0.65x. Automation operational, templates for common patterns.</t>
        </is>
      </c>
    </row>
    <row r="45">
      <c r="A45" s="12" t="inlineStr">
        <is>
          <t>Mature</t>
        </is>
      </c>
      <c r="B45" s="12" t="inlineStr">
        <is>
          <t>1,001 - 4,000</t>
        </is>
      </c>
      <c r="C45" s="23" t="n">
        <v>0.45</v>
      </c>
      <c r="H45" s="5" t="inlineStr">
        <is>
          <t>Wave 4: Mature (1001-4000)</t>
        </is>
      </c>
      <c r="I45" s="5" t="inlineStr">
        <is>
          <t>0.45x. Maximum automation, junior staff execute from runbooks.</t>
        </is>
      </c>
    </row>
    <row r="46">
      <c r="A46" s="12" t="inlineStr">
        <is>
          <t>Late</t>
        </is>
      </c>
      <c r="B46" s="12" t="inlineStr">
        <is>
          <t>4,001+</t>
        </is>
      </c>
      <c r="C46" s="23" t="n">
        <v>0.3</v>
      </c>
      <c r="H46" s="5" t="inlineStr">
        <is>
          <t>Wave 5: Late (4001+)</t>
        </is>
      </c>
      <c r="I46" s="5" t="inlineStr">
        <is>
          <t>0.30x. Near-full automation. Only edge cases need human attention.</t>
        </is>
      </c>
    </row>
    <row r="48">
      <c r="H48" s="24" t="inlineStr">
        <is>
          <t>WORKED EXAMPLE: Blended Learning Curve Factor</t>
        </is>
      </c>
      <c r="I48" s="24" t="n"/>
    </row>
    <row r="49">
      <c r="H49" s="25" t="inlineStr">
        <is>
          <t>Given: 8,000 total apps</t>
        </is>
      </c>
      <c r="I49" s="26" t="inlineStr">
        <is>
          <t>Wave 1: min(50, 8000) = 50 apps x 1.50 = 75.0
Wave 2: min(150, 8000-50) = 150 apps x 1.00 = 150.0
Wave 3: min(800, 8000-200) = 800 apps x 0.65 = 520.0
Wave 4: min(3000, 8000-1000) = 3000 apps x 0.45 = 1,350.0
Wave 5: max(0, 8000-4000) = 4000 apps x 0.30 = 1,200.0</t>
        </is>
      </c>
    </row>
    <row r="50">
      <c r="H50" s="25" t="inlineStr">
        <is>
          <t>Blended Factor:</t>
        </is>
      </c>
      <c r="I50" s="26" t="inlineStr">
        <is>
          <t>(75 + 150 + 520 + 1350 + 1200) / 8000
= 3,295 / 8,000
= 0.4119
Average app costs 41.19% of baseline — a 59% reduction.</t>
        </is>
      </c>
    </row>
  </sheetData>
  <mergeCells count="3">
    <mergeCell ref="H48:I48"/>
    <mergeCell ref="A1:G1"/>
    <mergeCell ref="H1:I1"/>
  </mergeCells>
  <dataValidations count="1">
    <dataValidation sqref="B32 B33 B34 B35 B36" showDropDown="0" showInputMessage="0" showErrorMessage="0" allowBlank="0" errorTitle="Invalid" error="Enter 1-5" type="whole" operator="between">
      <formula1>1</formula1>
      <formula2>5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65" customWidth="1" min="8" max="8"/>
  </cols>
  <sheetData>
    <row r="1">
      <c r="A1" s="1" t="inlineStr">
        <is>
          <t>IBM Cybersecurity Services — Client Environment Profile</t>
        </is>
      </c>
      <c r="H1" s="2" t="inlineStr">
        <is>
          <t>STEP-BY-STEP GUIDE</t>
        </is>
      </c>
    </row>
    <row r="2">
      <c r="A2" s="3" t="inlineStr">
        <is>
          <t>CELL TYPE GUIDE:</t>
        </is>
      </c>
      <c r="H2" s="4" t="inlineStr">
        <is>
          <t>PURPOSE: Your inputs here drive ALL cost calculations across the workbook.</t>
        </is>
      </c>
    </row>
    <row r="3">
      <c r="A3" s="6" t="inlineStr">
        <is>
          <t xml:space="preserve">  IBM Standard — do not modify</t>
        </is>
      </c>
      <c r="B3" s="7" t="n"/>
      <c r="H3" s="5" t="inlineStr">
        <is>
          <t>STEPS:
1. Enter Client Name and Engagement ID
2. Score each Complexity Factor (1-3)
3. Enter Unit Counts from your discovery
4. Distribute total applications across archetypes
5. Verify the archetype total matches (Validation = 'OK')</t>
        </is>
      </c>
    </row>
    <row r="4">
      <c r="A4" s="6" t="inlineStr">
        <is>
          <t xml:space="preserve">  Client Input — please fill in</t>
        </is>
      </c>
      <c r="B4" s="8" t="n"/>
    </row>
    <row r="5">
      <c r="A5" s="6" t="inlineStr">
        <is>
          <t xml:space="preserve">  Calculated — auto-computed</t>
        </is>
      </c>
      <c r="B5" s="9" t="n"/>
    </row>
    <row r="6">
      <c r="A6" s="10" t="inlineStr">
        <is>
          <t>BASE INFORMATION</t>
        </is>
      </c>
      <c r="B6" s="10" t="n"/>
    </row>
    <row r="7">
      <c r="A7" s="17" t="inlineStr">
        <is>
          <t>Client Name</t>
        </is>
      </c>
      <c r="B7" s="8" t="n"/>
    </row>
    <row r="8">
      <c r="A8" s="17" t="inlineStr">
        <is>
          <t>Engagement ID</t>
        </is>
      </c>
      <c r="B8" s="8" t="n"/>
    </row>
    <row r="10">
      <c r="A10" s="10" t="inlineStr">
        <is>
          <t>COMPLEXITY ASSESSMENT</t>
        </is>
      </c>
      <c r="B10" s="10" t="n"/>
      <c r="C10" s="10" t="n"/>
      <c r="D10" s="10" t="n"/>
      <c r="E10" s="10" t="n"/>
      <c r="F10" s="10" t="n"/>
      <c r="G10" s="10" t="n"/>
      <c r="H10" s="4" t="inlineStr">
        <is>
          <t>SECTION: COMPLEXITY ASSESSMENT</t>
        </is>
      </c>
    </row>
    <row r="11">
      <c r="A11" s="11" t="inlineStr">
        <is>
          <t>Factor</t>
        </is>
      </c>
      <c r="B11" s="11" t="inlineStr">
        <is>
          <t>Score (1-3)</t>
        </is>
      </c>
      <c r="C11" s="11" t="inlineStr">
        <is>
          <t>1 = Low</t>
        </is>
      </c>
      <c r="D11" s="11" t="inlineStr">
        <is>
          <t>2 = Medium</t>
        </is>
      </c>
      <c r="E11" s="11" t="inlineStr">
        <is>
          <t>3 = High</t>
        </is>
      </c>
      <c r="F11" s="11" t="inlineStr">
        <is>
          <t>Weight</t>
        </is>
      </c>
      <c r="G11" s="11" t="inlineStr">
        <is>
          <t>Weighted Score</t>
        </is>
      </c>
      <c r="H11" s="5" t="inlineStr">
        <is>
          <t>Each factor scored 1 (Low), 2 (Medium), 3 (High). Multiplied by Weight to produce Weighted Score. Composite multiplier ranges 1.0x to 2.0x.</t>
        </is>
      </c>
    </row>
    <row r="12">
      <c r="A12" s="17" t="inlineStr">
        <is>
          <t>Crypto Usage</t>
        </is>
      </c>
      <c r="B12" s="27" t="n">
        <v>1</v>
      </c>
      <c r="C12" s="19" t="inlineStr">
        <is>
          <t>TLS only, libraries abstracted</t>
        </is>
      </c>
      <c r="D12" s="19" t="inlineStr">
        <is>
          <t>Mix of TLS + embedded, some custom</t>
        </is>
      </c>
      <c r="E12" s="19" t="inlineStr">
        <is>
          <t>Deep custom crypto, HSM, PKI-embedded</t>
        </is>
      </c>
      <c r="F12" s="16" t="n">
        <v>0.25</v>
      </c>
      <c r="G12" s="20">
        <f>B12*F12</f>
        <v/>
      </c>
      <c r="H12" s="5" t="inlineStr">
        <is>
          <t>Crypto Usage: How deeply is cryptography embedded? TLS only via libraries = 1. Custom encryption + HSM integrations = 3.</t>
        </is>
      </c>
    </row>
    <row r="13">
      <c r="A13" s="17" t="inlineStr">
        <is>
          <t>Dependencies</t>
        </is>
      </c>
      <c r="B13" s="27" t="n">
        <v>1</v>
      </c>
      <c r="C13" s="19" t="inlineStr">
        <is>
          <t>Self-contained, few integrations</t>
        </is>
      </c>
      <c r="D13" s="19" t="inlineStr">
        <is>
          <t>5-15 dependent systems</t>
        </is>
      </c>
      <c r="E13" s="19" t="inlineStr">
        <is>
          <t>15+ systems, cross-org</t>
        </is>
      </c>
      <c r="F13" s="16" t="n">
        <v>0.2</v>
      </c>
      <c r="G13" s="20">
        <f>B13*F13</f>
        <v/>
      </c>
      <c r="H13" s="5" t="inlineStr">
        <is>
          <t>Dependencies: How many external systems connect? Self-contained = 1. 15+ systems with cross-org flows = 3.</t>
        </is>
      </c>
    </row>
    <row r="14">
      <c r="A14" s="17" t="inlineStr">
        <is>
          <t>Architecture Type</t>
        </is>
      </c>
      <c r="B14" s="27" t="n">
        <v>1</v>
      </c>
      <c r="C14" s="19" t="inlineStr">
        <is>
          <t>Cloud-native, modular</t>
        </is>
      </c>
      <c r="D14" s="19" t="inlineStr">
        <is>
          <t>Mixed modern/legacy</t>
        </is>
      </c>
      <c r="E14" s="19" t="inlineStr">
        <is>
          <t>Monolith, mainframe, tightly coupled</t>
        </is>
      </c>
      <c r="F14" s="16" t="n">
        <v>0.25</v>
      </c>
      <c r="G14" s="20">
        <f>B14*F14</f>
        <v/>
      </c>
      <c r="H14" s="5" t="inlineStr">
        <is>
          <t>Architecture: Cloud-native microservices = 1. Mixed = 2. Monolithic mainframe = 3.</t>
        </is>
      </c>
    </row>
    <row r="15">
      <c r="A15" s="17" t="inlineStr">
        <is>
          <t>Change Readiness</t>
        </is>
      </c>
      <c r="B15" s="27" t="n">
        <v>1</v>
      </c>
      <c r="C15" s="19" t="inlineStr">
        <is>
          <t>CI/CD, automated tests</t>
        </is>
      </c>
      <c r="D15" s="19" t="inlineStr">
        <is>
          <t>Semi-automated, manual gates</t>
        </is>
      </c>
      <c r="E15" s="19" t="inlineStr">
        <is>
          <t>Manual deployment, limited tests</t>
        </is>
      </c>
      <c r="F15" s="16" t="n">
        <v>0.15</v>
      </c>
      <c r="G15" s="20">
        <f>B15*F15</f>
        <v/>
      </c>
      <c r="H15" s="5" t="inlineStr">
        <is>
          <t>Change Readiness: Full CI/CD = 1. Semi-automated = 2. Manual deployment = 3.</t>
        </is>
      </c>
    </row>
    <row r="16">
      <c r="A16" s="17" t="inlineStr">
        <is>
          <t>Urgency</t>
        </is>
      </c>
      <c r="B16" s="27" t="n">
        <v>1</v>
      </c>
      <c r="C16" s="19" t="inlineStr">
        <is>
          <t>Planned, flexible timeline</t>
        </is>
      </c>
      <c r="D16" s="19" t="inlineStr">
        <is>
          <t>Regulatory deadline within 2 years</t>
        </is>
      </c>
      <c r="E16" s="19" t="inlineStr">
        <is>
          <t>Immediate, compliance-critical</t>
        </is>
      </c>
      <c r="F16" s="16" t="n">
        <v>0.15</v>
      </c>
      <c r="G16" s="20">
        <f>B16*F16</f>
        <v/>
      </c>
      <c r="H16" s="5" t="inlineStr">
        <is>
          <t>Urgency: Flexible timeline = 1. Regulatory deadline in 2 years = 2. Immediate compliance = 3.</t>
        </is>
      </c>
    </row>
    <row r="17">
      <c r="A17" s="28" t="inlineStr">
        <is>
          <t>Composite Complexity Multiplier</t>
        </is>
      </c>
      <c r="B17" s="21" t="n"/>
      <c r="C17" s="21" t="n"/>
      <c r="D17" s="21" t="n"/>
      <c r="E17" s="21" t="n"/>
      <c r="F17" s="21" t="n"/>
      <c r="G17" s="29">
        <f>0.5+SUM(G12:G16)*0.5</f>
        <v/>
      </c>
      <c r="H17" s="5" t="inlineStr">
        <is>
          <t>FORMULA: Multiplier = 0.5 + (Sum of Weighted Scores) x 0.5
All Low: 1.00 x 0.5 + 0.5 = 1.0x
All High: 3.00 x 0.5 + 0.5 = 2.0x</t>
        </is>
      </c>
    </row>
    <row r="18">
      <c r="A18" s="30" t="inlineStr">
        <is>
          <t>(Range: 1.0x at all-Low to 2.0x at all-High)</t>
        </is>
      </c>
    </row>
    <row r="20">
      <c r="A20" s="10" t="inlineStr">
        <is>
          <t>UNIT COUNT QUESTIONS</t>
        </is>
      </c>
      <c r="B20" s="10" t="n"/>
      <c r="H20" s="4" t="inlineStr">
        <is>
          <t>SECTION: UNIT COUNT QUESTIONS</t>
        </is>
      </c>
    </row>
    <row r="21">
      <c r="A21" s="11" t="inlineStr">
        <is>
          <t>Question</t>
        </is>
      </c>
      <c r="B21" s="11" t="inlineStr">
        <is>
          <t>Count</t>
        </is>
      </c>
      <c r="H21" s="5" t="inlineStr">
        <is>
          <t>These counts drive unit sizing on the UNITS sheet. Each question maps to one of 8 unit types:</t>
        </is>
      </c>
    </row>
    <row r="22">
      <c r="A22" s="31" t="inlineStr">
        <is>
          <t>Number of independently governed delivery units (BUs, entities, geos) with own dev/release authority</t>
        </is>
      </c>
      <c r="B22" s="27" t="n">
        <v>22</v>
      </c>
      <c r="H22" s="5" t="inlineStr">
        <is>
          <t>Maps to FAU. Count BUs, legal entities, or regions that independently manage crypto policies.</t>
        </is>
      </c>
    </row>
    <row r="23">
      <c r="A23" s="31" t="inlineStr">
        <is>
          <t>Number of distinct network trust domains or connectivity zones</t>
        </is>
      </c>
      <c r="B23" s="27" t="n">
        <v>10</v>
      </c>
      <c r="H23" s="5" t="inlineStr">
        <is>
          <t>Maps to NMU. Count distinct network zones or trust domains with independent TLS/IPsec/VPN.</t>
        </is>
      </c>
    </row>
    <row r="24">
      <c r="A24" s="31" t="inlineStr">
        <is>
          <t>Total number of applications (all types)</t>
        </is>
      </c>
      <c r="B24" s="27" t="n">
        <v>8000</v>
      </c>
      <c r="H24" s="5" t="inlineStr">
        <is>
          <t>Maps to AMU. Total app count — the single biggest cost driver. Include all apps using any cryptography.</t>
        </is>
      </c>
    </row>
    <row r="25">
      <c r="A25" s="31" t="inlineStr">
        <is>
          <t>Number of distinct runtime platforms (cloud accounts, on-prem, containers, mainframe)</t>
        </is>
      </c>
      <c r="B25" s="27" t="n">
        <v>20</v>
      </c>
      <c r="H25" s="5" t="inlineStr">
        <is>
          <t>Maps to PMU. Count runtime platforms: cloud subscriptions, on-prem clusters, container platforms, LPARs.</t>
        </is>
      </c>
    </row>
    <row r="26">
      <c r="A26" s="31" t="inlineStr">
        <is>
          <t>Number of PKI/KMS domains that need to be transformed</t>
        </is>
      </c>
      <c r="B26" s="27" t="n">
        <v>20</v>
      </c>
      <c r="H26" s="5" t="inlineStr">
        <is>
          <t>Maps to CMU. Count PKI hierarchies and KMS instances needing quantum-safe migration.</t>
        </is>
      </c>
    </row>
    <row r="27">
      <c r="A27" s="31" t="inlineStr">
        <is>
          <t>Number of data store classes requiring cryptographic control</t>
        </is>
      </c>
      <c r="B27" s="27" t="n">
        <v>80</v>
      </c>
      <c r="H27" s="5" t="inlineStr">
        <is>
          <t>Maps to DMU. Count data store classes by encryption type: databases, object stores, backup, archival.</t>
        </is>
      </c>
    </row>
    <row r="28">
      <c r="A28" s="31" t="inlineStr">
        <is>
          <t>Number of CI/CD pipelines or deployment paths handling crypto material</t>
        </is>
      </c>
      <c r="B28" s="27" t="n">
        <v>10</v>
      </c>
      <c r="H28" s="5" t="inlineStr">
        <is>
          <t>Maps to DAU. Count CI/CD pipelines that create, rotate, or validate cryptographic material.</t>
        </is>
      </c>
    </row>
    <row r="29">
      <c r="A29" s="31" t="inlineStr">
        <is>
          <t>Number of vendor/SaaS products where crypto is externally controlled</t>
        </is>
      </c>
      <c r="B29" s="27" t="n">
        <v>250</v>
      </c>
      <c r="H29" s="5" t="inlineStr">
        <is>
          <t>Maps to VTU. Count vendor products where crypto is externally controlled (SaaS, contracted services).</t>
        </is>
      </c>
    </row>
    <row r="31">
      <c r="A31" s="10" t="inlineStr">
        <is>
          <t>APPLICATION ARCHETYPE DISTRIBUTION</t>
        </is>
      </c>
      <c r="B31" s="10" t="n"/>
      <c r="C31" s="10" t="n"/>
      <c r="H31" s="4" t="inlineStr">
        <is>
          <t>SECTION: ARCHETYPE DISTRIBUTION</t>
        </is>
      </c>
    </row>
    <row r="32">
      <c r="A32" s="11" t="inlineStr">
        <is>
          <t>Archetype</t>
        </is>
      </c>
      <c r="B32" s="11" t="inlineStr">
        <is>
          <t>Count</t>
        </is>
      </c>
      <c r="C32" s="11" t="inlineStr">
        <is>
          <t>% of Total</t>
        </is>
      </c>
      <c r="H32" s="5" t="inlineStr">
        <is>
          <t>Break down total apps into 6 categories. This determines weighted average effort per app on ESTIMATE sheet.</t>
        </is>
      </c>
    </row>
    <row r="33">
      <c r="A33" s="12" t="inlineStr">
        <is>
          <t>Simple Web App / API Service</t>
        </is>
      </c>
      <c r="B33" s="27" t="n">
        <v>3200</v>
      </c>
      <c r="C33" s="32">
        <f>B33/$B$24</f>
        <v/>
      </c>
      <c r="H33" s="5" t="inlineStr">
        <is>
          <t>Simple Web App (0.9 FTE-mo): Standard TLS. Minimal crypto surface. Easiest to migrate.</t>
        </is>
      </c>
    </row>
    <row r="34">
      <c r="A34" s="12" t="inlineStr">
        <is>
          <t>Mainframe / Legacy System</t>
        </is>
      </c>
      <c r="B34" s="27" t="n">
        <v>800</v>
      </c>
      <c r="C34" s="32">
        <f>B34/$B$24</f>
        <v/>
      </c>
      <c r="H34" s="5" t="inlineStr">
        <is>
          <t>Mainframe (4.0 FTE-mo): COBOL/JCL with embedded crypto. Specialist skills required. Most expensive per app.</t>
        </is>
      </c>
    </row>
    <row r="35">
      <c r="A35" s="12" t="inlineStr">
        <is>
          <t>ERP / Packaged Application</t>
        </is>
      </c>
      <c r="B35" s="27" t="n">
        <v>600</v>
      </c>
      <c r="C35" s="32">
        <f>B35/$B$24</f>
        <v/>
      </c>
      <c r="H35" s="5" t="inlineStr">
        <is>
          <t>ERP / Packaged (3.0 FTE-mo): SAP, Oracle. Effort is in vendor coordination + config.</t>
        </is>
      </c>
    </row>
    <row r="36">
      <c r="A36" s="12" t="inlineStr">
        <is>
          <t>Mobile Application</t>
        </is>
      </c>
      <c r="B36" s="27" t="n">
        <v>400</v>
      </c>
      <c r="C36" s="32">
        <f>B36/$B$24</f>
        <v/>
      </c>
      <c r="H36" s="5" t="inlineStr">
        <is>
          <t>Mobile (1.0 FTE-mo): iOS/Android. Mostly TLS + cert pinning. Moderate effort.</t>
        </is>
      </c>
    </row>
    <row r="37">
      <c r="A37" s="12" t="inlineStr">
        <is>
          <t>Microservice / Cloud-Native</t>
        </is>
      </c>
      <c r="B37" s="27" t="n">
        <v>2200</v>
      </c>
      <c r="C37" s="32">
        <f>B37/$B$24</f>
        <v/>
      </c>
      <c r="H37" s="5" t="inlineStr">
        <is>
          <t>Microservice (0.6 FTE-mo): Cloud-native, containerized. Cheapest to migrate.</t>
        </is>
      </c>
    </row>
    <row r="38">
      <c r="A38" s="12" t="inlineStr">
        <is>
          <t>Monolith / Legacy Custom</t>
        </is>
      </c>
      <c r="B38" s="27" t="n">
        <v>800</v>
      </c>
      <c r="C38" s="32">
        <f>B38/$B$24</f>
        <v/>
      </c>
      <c r="H38" s="5" t="inlineStr">
        <is>
          <t>Monolith (3.5 FTE-mo): Large custom apps with hardcoded crypto. High effort.</t>
        </is>
      </c>
    </row>
    <row r="39">
      <c r="A39" s="17" t="inlineStr">
        <is>
          <t>Total</t>
        </is>
      </c>
      <c r="B39" s="33">
        <f>SUM(B33:B38)</f>
        <v/>
      </c>
      <c r="C39" s="32">
        <f>SUM(C33:C38)</f>
        <v/>
      </c>
      <c r="H39" s="5" t="inlineStr">
        <is>
          <t>Counts MUST sum to total applications. Check Validation row.</t>
        </is>
      </c>
    </row>
    <row r="40">
      <c r="A40" s="17" t="inlineStr">
        <is>
          <t>Validation</t>
        </is>
      </c>
      <c r="B40" s="34">
        <f>IF(B39=B24,"OK","MISMATCH - must equal total apps!")</f>
        <v/>
      </c>
      <c r="C40" s="21" t="n"/>
    </row>
  </sheetData>
  <mergeCells count="1">
    <mergeCell ref="A1:G1"/>
  </mergeCells>
  <dataValidations count="1">
    <dataValidation sqref="B12 B13 B14 B15 B16" showDropDown="0" showInputMessage="0" showErrorMessage="0" allowBlank="0" errorTitle="Invalid" error="Enter 1, 2, or 3" type="whole" operator="between">
      <formula1>1</formula1>
      <formula2>3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65" customWidth="1" min="8" max="8"/>
  </cols>
  <sheetData>
    <row r="1">
      <c r="A1" s="1" t="inlineStr">
        <is>
          <t>IBM Cybersecurity Services — Per-Application Effort Estimator</t>
        </is>
      </c>
      <c r="H1" s="2" t="inlineStr">
        <is>
          <t>HOW THIS SHEET WORKS</t>
        </is>
      </c>
    </row>
    <row r="2">
      <c r="H2" s="4" t="inlineStr">
        <is>
          <t>PURPOSE: Calculates weighted average effort per application, considering archetype mix and complexity. Output (cell E32) feeds AMU on UNITS sheet.</t>
        </is>
      </c>
    </row>
    <row r="3">
      <c r="A3" s="10" t="inlineStr">
        <is>
          <t>PHASE EFFORT DISTRIBUTION</t>
        </is>
      </c>
      <c r="B3" s="10" t="n"/>
      <c r="C3" s="10" t="n"/>
      <c r="D3" s="10" t="n"/>
      <c r="E3" s="10" t="n"/>
      <c r="F3" s="10" t="n"/>
      <c r="G3" s="10" t="n"/>
      <c r="H3" s="5" t="inlineStr">
        <is>
          <t>DATA FLOW:
  Receives: Complexity Multiplier from INPUT!G17, Archetype counts from INPUT!B33:B38
  Produces: Weighted Average Effort (E32) for UNITS sheet</t>
        </is>
      </c>
    </row>
    <row r="4">
      <c r="A4" s="35" t="inlineStr">
        <is>
          <t>Phase</t>
        </is>
      </c>
      <c r="B4" s="35" t="inlineStr">
        <is>
          <t>1: Discovery (15%)</t>
        </is>
      </c>
      <c r="C4" s="35" t="inlineStr">
        <is>
          <t>2: Design (10%)</t>
        </is>
      </c>
      <c r="D4" s="35" t="inlineStr">
        <is>
          <t>3: Development (45%)</t>
        </is>
      </c>
      <c r="E4" s="35" t="inlineStr">
        <is>
          <t>4: Testing (20%)</t>
        </is>
      </c>
      <c r="F4" s="35" t="inlineStr">
        <is>
          <t>5: Deployment (10%)</t>
        </is>
      </c>
      <c r="G4" s="35" t="inlineStr">
        <is>
          <t>Total</t>
        </is>
      </c>
    </row>
    <row r="6">
      <c r="A6" s="10" t="inlineStr">
        <is>
          <t>BASE EFFORT BY ARCHETYPE (FTE-months per app, before complexity)</t>
        </is>
      </c>
      <c r="B6" s="10" t="n"/>
      <c r="C6" s="10" t="n"/>
      <c r="D6" s="10" t="n"/>
      <c r="E6" s="10" t="n"/>
      <c r="F6" s="10" t="n"/>
      <c r="G6" s="10" t="n"/>
      <c r="H6" s="4" t="inlineStr">
        <is>
          <t>SECTION: BASE EFFORT BY ARCHETYPE</t>
        </is>
      </c>
    </row>
    <row r="7">
      <c r="A7" s="11" t="inlineStr">
        <is>
          <t>Archetype</t>
        </is>
      </c>
      <c r="B7" s="11" t="inlineStr">
        <is>
          <t>1: Discovery (15%)</t>
        </is>
      </c>
      <c r="C7" s="11" t="inlineStr">
        <is>
          <t>2: Design (10%)</t>
        </is>
      </c>
      <c r="D7" s="11" t="inlineStr">
        <is>
          <t>3: Development (45%)</t>
        </is>
      </c>
      <c r="E7" s="11" t="inlineStr">
        <is>
          <t>4: Testing (20%)</t>
        </is>
      </c>
      <c r="F7" s="11" t="inlineStr">
        <is>
          <t>5: Deployment (10%)</t>
        </is>
      </c>
      <c r="G7" s="11" t="inlineStr">
        <is>
          <t>Total</t>
        </is>
      </c>
      <c r="H7" s="5" t="inlineStr">
        <is>
          <t>IBM-standard effort (FTE-months) to migrate one app of each type through all 5 phases.
Phase split: Discovery 15%, Design 10%, Development 45%, Testing 20%, Deployment 10%.</t>
        </is>
      </c>
    </row>
    <row r="8">
      <c r="A8" s="12" t="inlineStr">
        <is>
          <t>Simple Web App / API Service</t>
        </is>
      </c>
      <c r="B8" s="23" t="n">
        <v>0.135</v>
      </c>
      <c r="C8" s="23" t="n">
        <v>0.09</v>
      </c>
      <c r="D8" s="23" t="n">
        <v>0.405</v>
      </c>
      <c r="E8" s="23" t="n">
        <v>0.18</v>
      </c>
      <c r="F8" s="23" t="n">
        <v>0.09</v>
      </c>
      <c r="G8" s="20">
        <f>SUM(B8:F8)</f>
        <v/>
      </c>
    </row>
    <row r="9">
      <c r="A9" s="12" t="inlineStr">
        <is>
          <t>Mainframe / Legacy System</t>
        </is>
      </c>
      <c r="B9" s="23" t="n">
        <v>0.6</v>
      </c>
      <c r="C9" s="23" t="n">
        <v>0.4</v>
      </c>
      <c r="D9" s="23" t="n">
        <v>1.8</v>
      </c>
      <c r="E9" s="23" t="n">
        <v>0.8</v>
      </c>
      <c r="F9" s="23" t="n">
        <v>0.4</v>
      </c>
      <c r="G9" s="20">
        <f>SUM(B9:F9)</f>
        <v/>
      </c>
    </row>
    <row r="10">
      <c r="A10" s="12" t="inlineStr">
        <is>
          <t>ERP / Packaged Application</t>
        </is>
      </c>
      <c r="B10" s="23" t="n">
        <v>0.45</v>
      </c>
      <c r="C10" s="23" t="n">
        <v>0.3</v>
      </c>
      <c r="D10" s="23" t="n">
        <v>1.35</v>
      </c>
      <c r="E10" s="23" t="n">
        <v>0.6</v>
      </c>
      <c r="F10" s="23" t="n">
        <v>0.3</v>
      </c>
      <c r="G10" s="20">
        <f>SUM(B10:F10)</f>
        <v/>
      </c>
    </row>
    <row r="11">
      <c r="A11" s="12" t="inlineStr">
        <is>
          <t>Mobile Application</t>
        </is>
      </c>
      <c r="B11" s="23" t="n">
        <v>0.15</v>
      </c>
      <c r="C11" s="23" t="n">
        <v>0.1</v>
      </c>
      <c r="D11" s="23" t="n">
        <v>0.45</v>
      </c>
      <c r="E11" s="23" t="n">
        <v>0.2</v>
      </c>
      <c r="F11" s="23" t="n">
        <v>0.1</v>
      </c>
      <c r="G11" s="20">
        <f>SUM(B11:F11)</f>
        <v/>
      </c>
    </row>
    <row r="12">
      <c r="A12" s="12" t="inlineStr">
        <is>
          <t>Microservice / Cloud-Native</t>
        </is>
      </c>
      <c r="B12" s="23" t="n">
        <v>0.09</v>
      </c>
      <c r="C12" s="23" t="n">
        <v>0.06</v>
      </c>
      <c r="D12" s="23" t="n">
        <v>0.27</v>
      </c>
      <c r="E12" s="23" t="n">
        <v>0.12</v>
      </c>
      <c r="F12" s="23" t="n">
        <v>0.06</v>
      </c>
      <c r="G12" s="20">
        <f>SUM(B12:F12)</f>
        <v/>
      </c>
    </row>
    <row r="13">
      <c r="A13" s="12" t="inlineStr">
        <is>
          <t>Monolith / Legacy Custom</t>
        </is>
      </c>
      <c r="B13" s="23" t="n">
        <v>0.525</v>
      </c>
      <c r="C13" s="23" t="n">
        <v>0.35</v>
      </c>
      <c r="D13" s="23" t="n">
        <v>1.575</v>
      </c>
      <c r="E13" s="23" t="n">
        <v>0.7</v>
      </c>
      <c r="F13" s="23" t="n">
        <v>0.35</v>
      </c>
      <c r="G13" s="20">
        <f>SUM(B13:F13)</f>
        <v/>
      </c>
    </row>
    <row r="15">
      <c r="A15" s="10" t="inlineStr">
        <is>
          <t>COMPLEXITY-ADJUSTED EFFORT</t>
        </is>
      </c>
      <c r="B15" s="10" t="n"/>
      <c r="C15" s="10" t="n"/>
      <c r="D15" s="10" t="n"/>
      <c r="E15" s="10" t="n"/>
      <c r="F15" s="10" t="n"/>
      <c r="G15" s="10" t="n"/>
      <c r="H15" s="4" t="inlineStr">
        <is>
          <t>SECTION: COMPLEXITY-ADJUSTED EFFORT</t>
        </is>
      </c>
    </row>
    <row r="16">
      <c r="A16" s="17" t="inlineStr">
        <is>
          <t>Complexity Multiplier (from INPUT)</t>
        </is>
      </c>
      <c r="B16" s="20">
        <f>INPUT!G17</f>
        <v/>
      </c>
      <c r="C16" s="21" t="n"/>
      <c r="D16" s="21" t="n"/>
      <c r="E16" s="21" t="n"/>
      <c r="F16" s="21" t="n"/>
      <c r="G16" s="21" t="n"/>
      <c r="H16" s="5" t="inlineStr">
        <is>
          <t>Complexity Multiplier applied to every archetype.
Formula: Adjusted = Base x Multiplier
All Low (1.0x): Simple Web App = 0.9 x 1.0 = 0.9
All Med (1.5x): Simple Web App = 0.9 x 1.5 = 1.35</t>
        </is>
      </c>
    </row>
    <row r="17">
      <c r="A17" s="12" t="inlineStr">
        <is>
          <t>Simple Web App / API Service (adjusted)</t>
        </is>
      </c>
      <c r="B17" s="20">
        <f>B8*$B$16</f>
        <v/>
      </c>
      <c r="C17" s="20">
        <f>C8*$B$16</f>
        <v/>
      </c>
      <c r="D17" s="20">
        <f>D8*$B$16</f>
        <v/>
      </c>
      <c r="E17" s="20">
        <f>E8*$B$16</f>
        <v/>
      </c>
      <c r="F17" s="20">
        <f>F8*$B$16</f>
        <v/>
      </c>
      <c r="G17" s="20">
        <f>SUM(B17:F17)</f>
        <v/>
      </c>
    </row>
    <row r="18">
      <c r="A18" s="12" t="inlineStr">
        <is>
          <t>Mainframe / Legacy System (adjusted)</t>
        </is>
      </c>
      <c r="B18" s="20">
        <f>B9*$B$16</f>
        <v/>
      </c>
      <c r="C18" s="20">
        <f>C9*$B$16</f>
        <v/>
      </c>
      <c r="D18" s="20">
        <f>D9*$B$16</f>
        <v/>
      </c>
      <c r="E18" s="20">
        <f>E9*$B$16</f>
        <v/>
      </c>
      <c r="F18" s="20">
        <f>F9*$B$16</f>
        <v/>
      </c>
      <c r="G18" s="20">
        <f>SUM(B18:F18)</f>
        <v/>
      </c>
    </row>
    <row r="19">
      <c r="A19" s="12" t="inlineStr">
        <is>
          <t>ERP / Packaged Application (adjusted)</t>
        </is>
      </c>
      <c r="B19" s="20">
        <f>B10*$B$16</f>
        <v/>
      </c>
      <c r="C19" s="20">
        <f>C10*$B$16</f>
        <v/>
      </c>
      <c r="D19" s="20">
        <f>D10*$B$16</f>
        <v/>
      </c>
      <c r="E19" s="20">
        <f>E10*$B$16</f>
        <v/>
      </c>
      <c r="F19" s="20">
        <f>F10*$B$16</f>
        <v/>
      </c>
      <c r="G19" s="20">
        <f>SUM(B19:F19)</f>
        <v/>
      </c>
    </row>
    <row r="20">
      <c r="A20" s="12" t="inlineStr">
        <is>
          <t>Mobile Application (adjusted)</t>
        </is>
      </c>
      <c r="B20" s="20">
        <f>B11*$B$16</f>
        <v/>
      </c>
      <c r="C20" s="20">
        <f>C11*$B$16</f>
        <v/>
      </c>
      <c r="D20" s="20">
        <f>D11*$B$16</f>
        <v/>
      </c>
      <c r="E20" s="20">
        <f>E11*$B$16</f>
        <v/>
      </c>
      <c r="F20" s="20">
        <f>F11*$B$16</f>
        <v/>
      </c>
      <c r="G20" s="20">
        <f>SUM(B20:F20)</f>
        <v/>
      </c>
    </row>
    <row r="21">
      <c r="A21" s="12" t="inlineStr">
        <is>
          <t>Microservice / Cloud-Native (adjusted)</t>
        </is>
      </c>
      <c r="B21" s="20">
        <f>B12*$B$16</f>
        <v/>
      </c>
      <c r="C21" s="20">
        <f>C12*$B$16</f>
        <v/>
      </c>
      <c r="D21" s="20">
        <f>D12*$B$16</f>
        <v/>
      </c>
      <c r="E21" s="20">
        <f>E12*$B$16</f>
        <v/>
      </c>
      <c r="F21" s="20">
        <f>F12*$B$16</f>
        <v/>
      </c>
      <c r="G21" s="20">
        <f>SUM(B21:F21)</f>
        <v/>
      </c>
    </row>
    <row r="22">
      <c r="A22" s="12" t="inlineStr">
        <is>
          <t>Monolith / Legacy Custom (adjusted)</t>
        </is>
      </c>
      <c r="B22" s="20">
        <f>B13*$B$16</f>
        <v/>
      </c>
      <c r="C22" s="20">
        <f>C13*$B$16</f>
        <v/>
      </c>
      <c r="D22" s="20">
        <f>D13*$B$16</f>
        <v/>
      </c>
      <c r="E22" s="20">
        <f>E13*$B$16</f>
        <v/>
      </c>
      <c r="F22" s="20">
        <f>F13*$B$16</f>
        <v/>
      </c>
      <c r="G22" s="20">
        <f>SUM(B22:F22)</f>
        <v/>
      </c>
    </row>
    <row r="24">
      <c r="A24" s="10" t="inlineStr">
        <is>
          <t>WEIGHTED AVERAGE EFFORT (feeds AMU on UNITS sheet)</t>
        </is>
      </c>
      <c r="B24" s="10" t="n"/>
      <c r="C24" s="10" t="n"/>
      <c r="D24" s="10" t="n"/>
      <c r="E24" s="10" t="n"/>
      <c r="H24" s="4" t="inlineStr">
        <is>
          <t>SECTION: WEIGHTED AVERAGE EFFORT</t>
        </is>
      </c>
    </row>
    <row r="25">
      <c r="A25" s="11" t="inlineStr">
        <is>
          <t>Archetype</t>
        </is>
      </c>
      <c r="B25" s="11" t="inlineStr">
        <is>
          <t>App Count</t>
        </is>
      </c>
      <c r="C25" s="11" t="inlineStr">
        <is>
          <t>% of Total</t>
        </is>
      </c>
      <c r="D25" s="11" t="inlineStr">
        <is>
          <t>Adj Effort/App</t>
        </is>
      </c>
      <c r="E25" s="11" t="inlineStr">
        <is>
          <t>Weighted Contribution</t>
        </is>
      </c>
      <c r="H25" s="5" t="inlineStr">
        <is>
          <t>Combines all archetypes into single average effort, weighted by app count.
Formula: Weighted Avg = SUM(each archetype's % x adjusted effort)</t>
        </is>
      </c>
    </row>
    <row r="26">
      <c r="A26" s="12" t="inlineStr">
        <is>
          <t>Simple Web App / API Service</t>
        </is>
      </c>
      <c r="B26" s="9">
        <f>INPUT!B33</f>
        <v/>
      </c>
      <c r="C26" s="32">
        <f>B26/SUM($B$26:$B$31)</f>
        <v/>
      </c>
      <c r="D26" s="20">
        <f>G17</f>
        <v/>
      </c>
      <c r="E26" s="36">
        <f>C26*D26</f>
        <v/>
      </c>
    </row>
    <row r="27">
      <c r="A27" s="12" t="inlineStr">
        <is>
          <t>Mainframe / Legacy System</t>
        </is>
      </c>
      <c r="B27" s="9">
        <f>INPUT!B34</f>
        <v/>
      </c>
      <c r="C27" s="32">
        <f>B27/SUM($B$26:$B$31)</f>
        <v/>
      </c>
      <c r="D27" s="20">
        <f>G18</f>
        <v/>
      </c>
      <c r="E27" s="36">
        <f>C27*D27</f>
        <v/>
      </c>
    </row>
    <row r="28">
      <c r="A28" s="12" t="inlineStr">
        <is>
          <t>ERP / Packaged Application</t>
        </is>
      </c>
      <c r="B28" s="9">
        <f>INPUT!B35</f>
        <v/>
      </c>
      <c r="C28" s="32">
        <f>B28/SUM($B$26:$B$31)</f>
        <v/>
      </c>
      <c r="D28" s="20">
        <f>G19</f>
        <v/>
      </c>
      <c r="E28" s="36">
        <f>C28*D28</f>
        <v/>
      </c>
    </row>
    <row r="29">
      <c r="A29" s="12" t="inlineStr">
        <is>
          <t>Mobile Application</t>
        </is>
      </c>
      <c r="B29" s="9">
        <f>INPUT!B36</f>
        <v/>
      </c>
      <c r="C29" s="32">
        <f>B29/SUM($B$26:$B$31)</f>
        <v/>
      </c>
      <c r="D29" s="20">
        <f>G20</f>
        <v/>
      </c>
      <c r="E29" s="36">
        <f>C29*D29</f>
        <v/>
      </c>
    </row>
    <row r="30">
      <c r="A30" s="12" t="inlineStr">
        <is>
          <t>Microservice / Cloud-Native</t>
        </is>
      </c>
      <c r="B30" s="9">
        <f>INPUT!B37</f>
        <v/>
      </c>
      <c r="C30" s="32">
        <f>B30/SUM($B$26:$B$31)</f>
        <v/>
      </c>
      <c r="D30" s="20">
        <f>G21</f>
        <v/>
      </c>
      <c r="E30" s="36">
        <f>C30*D30</f>
        <v/>
      </c>
    </row>
    <row r="31">
      <c r="A31" s="12" t="inlineStr">
        <is>
          <t>Monolith / Legacy Custom</t>
        </is>
      </c>
      <c r="B31" s="9">
        <f>INPUT!B38</f>
        <v/>
      </c>
      <c r="C31" s="32">
        <f>B31/SUM($B$26:$B$31)</f>
        <v/>
      </c>
      <c r="D31" s="20">
        <f>G22</f>
        <v/>
      </c>
      <c r="E31" s="36">
        <f>C31*D31</f>
        <v/>
      </c>
    </row>
    <row r="32">
      <c r="A32" s="28" t="inlineStr">
        <is>
          <t>Weighted Avg Effort per App (FTE-months)</t>
        </is>
      </c>
      <c r="B32" s="21" t="n"/>
      <c r="C32" s="21" t="n"/>
      <c r="D32" s="21" t="n"/>
      <c r="E32" s="29">
        <f>SUM(E26:E31)</f>
        <v/>
      </c>
    </row>
    <row r="34">
      <c r="A34" s="24" t="inlineStr">
        <is>
          <t>WORKED EXAMPLE: Computing Weighted Average (with default values)</t>
        </is>
      </c>
      <c r="B34" s="24" t="n"/>
      <c r="C34" s="24" t="n"/>
      <c r="D34" s="24" t="n"/>
      <c r="E34" s="24" t="n"/>
      <c r="F34" s="24" t="n"/>
      <c r="G34" s="24" t="n"/>
      <c r="H34" s="24" t="n"/>
    </row>
    <row r="35">
      <c r="A35" s="25" t="inlineStr">
        <is>
          <t>Archetype</t>
        </is>
      </c>
      <c r="B35" s="25" t="inlineStr">
        <is>
          <t>Count</t>
        </is>
      </c>
      <c r="C35" s="25" t="inlineStr">
        <is>
          <t>% of Total</t>
        </is>
      </c>
      <c r="D35" s="25" t="inlineStr">
        <is>
          <t>Effort/App</t>
        </is>
      </c>
      <c r="E35" s="25" t="inlineStr">
        <is>
          <t>Contribution</t>
        </is>
      </c>
      <c r="F35" s="25" t="inlineStr"/>
      <c r="G35" s="25" t="inlineStr"/>
      <c r="H35" s="25" t="inlineStr">
        <is>
          <t>Calculation Detail</t>
        </is>
      </c>
    </row>
    <row r="36">
      <c r="A36" s="26" t="inlineStr">
        <is>
          <t>Simple Web App</t>
        </is>
      </c>
      <c r="B36" s="26" t="inlineStr">
        <is>
          <t>3,200</t>
        </is>
      </c>
      <c r="C36" s="26" t="inlineStr">
        <is>
          <t>40.0%</t>
        </is>
      </c>
      <c r="D36" s="26" t="inlineStr">
        <is>
          <t>0.90</t>
        </is>
      </c>
      <c r="E36" s="26" t="inlineStr">
        <is>
          <t>0.3600</t>
        </is>
      </c>
      <c r="H36" s="26" t="inlineStr">
        <is>
          <t>3200/8000 = 40% x 0.90 = 0.3600</t>
        </is>
      </c>
    </row>
    <row r="37">
      <c r="A37" s="26" t="inlineStr">
        <is>
          <t>Mainframe</t>
        </is>
      </c>
      <c r="B37" s="26" t="inlineStr">
        <is>
          <t>800</t>
        </is>
      </c>
      <c r="C37" s="26" t="inlineStr">
        <is>
          <t>10.0%</t>
        </is>
      </c>
      <c r="D37" s="26" t="inlineStr">
        <is>
          <t>4.00</t>
        </is>
      </c>
      <c r="E37" s="26" t="inlineStr">
        <is>
          <t>0.4000</t>
        </is>
      </c>
      <c r="H37" s="26" t="inlineStr">
        <is>
          <t>800/8000 = 10% x 4.00 = 0.4000</t>
        </is>
      </c>
    </row>
    <row r="38">
      <c r="A38" s="26" t="inlineStr">
        <is>
          <t>ERP / Packaged</t>
        </is>
      </c>
      <c r="B38" s="26" t="inlineStr">
        <is>
          <t>600</t>
        </is>
      </c>
      <c r="C38" s="26" t="inlineStr">
        <is>
          <t>7.5%</t>
        </is>
      </c>
      <c r="D38" s="26" t="inlineStr">
        <is>
          <t>3.00</t>
        </is>
      </c>
      <c r="E38" s="26" t="inlineStr">
        <is>
          <t>0.2250</t>
        </is>
      </c>
      <c r="H38" s="26" t="inlineStr">
        <is>
          <t>600/8000 = 7.5% x 3.00 = 0.2250</t>
        </is>
      </c>
    </row>
    <row r="39">
      <c r="A39" s="26" t="inlineStr">
        <is>
          <t>Mobile</t>
        </is>
      </c>
      <c r="B39" s="26" t="inlineStr">
        <is>
          <t>400</t>
        </is>
      </c>
      <c r="C39" s="26" t="inlineStr">
        <is>
          <t>5.0%</t>
        </is>
      </c>
      <c r="D39" s="26" t="inlineStr">
        <is>
          <t>1.00</t>
        </is>
      </c>
      <c r="E39" s="26" t="inlineStr">
        <is>
          <t>0.0500</t>
        </is>
      </c>
      <c r="H39" s="26" t="inlineStr">
        <is>
          <t>400/8000 = 5% x 1.00 = 0.0500</t>
        </is>
      </c>
    </row>
    <row r="40">
      <c r="A40" s="26" t="inlineStr">
        <is>
          <t>Microservice</t>
        </is>
      </c>
      <c r="B40" s="26" t="inlineStr">
        <is>
          <t>2,200</t>
        </is>
      </c>
      <c r="C40" s="26" t="inlineStr">
        <is>
          <t>27.5%</t>
        </is>
      </c>
      <c r="D40" s="26" t="inlineStr">
        <is>
          <t>0.60</t>
        </is>
      </c>
      <c r="E40" s="26" t="inlineStr">
        <is>
          <t>0.1650</t>
        </is>
      </c>
      <c r="H40" s="26" t="inlineStr">
        <is>
          <t>2200/8000 = 27.5% x 0.60 = 0.1650</t>
        </is>
      </c>
    </row>
    <row r="41">
      <c r="A41" s="26" t="inlineStr">
        <is>
          <t>Monolith/Legacy</t>
        </is>
      </c>
      <c r="B41" s="26" t="inlineStr">
        <is>
          <t>800</t>
        </is>
      </c>
      <c r="C41" s="26" t="inlineStr">
        <is>
          <t>10.0%</t>
        </is>
      </c>
      <c r="D41" s="26" t="inlineStr">
        <is>
          <t>3.50</t>
        </is>
      </c>
      <c r="E41" s="26" t="inlineStr">
        <is>
          <t>0.3500</t>
        </is>
      </c>
      <c r="H41" s="26" t="inlineStr">
        <is>
          <t>800/8000 = 10% x 3.50 = 0.3500</t>
        </is>
      </c>
    </row>
    <row r="42">
      <c r="A42" s="25" t="inlineStr">
        <is>
          <t>TOTAL</t>
        </is>
      </c>
      <c r="B42" s="25" t="inlineStr">
        <is>
          <t>8,000</t>
        </is>
      </c>
      <c r="C42" s="25" t="inlineStr">
        <is>
          <t>100%</t>
        </is>
      </c>
      <c r="E42" s="25" t="inlineStr">
        <is>
          <t>1.5500</t>
        </is>
      </c>
      <c r="H42" s="25" t="inlineStr">
        <is>
          <t>Sum = 0.36 + 0.40 + 0.225 + 0.05 + 0.165 + 0.35 = 1.55 FTE-months/app</t>
        </is>
      </c>
    </row>
    <row r="44">
      <c r="A44" s="25" t="inlineStr">
        <is>
          <t>This 1.55 FTE-months/app feeds into UNITS sheet as AMU base effort.</t>
        </is>
      </c>
    </row>
    <row r="45">
      <c r="A45" s="26" t="inlineStr">
        <is>
          <t>On UNITS: AMU Small = 1.55 x 1.0 = 1.55  |  Medium = 1.55 x 2.0 = 3.10  |  Large = 1.55 x 4.0 = 6.20</t>
        </is>
      </c>
    </row>
  </sheetData>
  <mergeCells count="3">
    <mergeCell ref="B16:F16"/>
    <mergeCell ref="A1:G1"/>
    <mergeCell ref="A34:H3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82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70" customWidth="1" min="28" max="28"/>
  </cols>
  <sheetData>
    <row r="1">
      <c r="A1" s="1" t="inlineStr">
        <is>
          <t>IBM Cybersecurity Services — Enterprise Cost Model</t>
        </is>
      </c>
      <c r="AB1" s="2" t="inlineStr">
        <is>
          <t>ROW-BY-ROW FORMULA GUIDE</t>
        </is>
      </c>
    </row>
    <row r="2">
      <c r="A2" s="17" t="inlineStr">
        <is>
          <t>Units</t>
        </is>
      </c>
      <c r="B2" s="37" t="inlineStr">
        <is>
          <t>Federated Adoption Unit (FAU)</t>
        </is>
      </c>
      <c r="C2" s="21" t="n"/>
      <c r="D2" s="21" t="n"/>
      <c r="E2" s="37" t="inlineStr">
        <is>
          <t>Network / Connectivity Migration Unit (NMU)</t>
        </is>
      </c>
      <c r="F2" s="21" t="n"/>
      <c r="G2" s="21" t="n"/>
      <c r="H2" s="37" t="inlineStr">
        <is>
          <t>Application Migration Unit (AMU)</t>
        </is>
      </c>
      <c r="I2" s="21" t="n"/>
      <c r="J2" s="21" t="n"/>
      <c r="K2" s="37" t="inlineStr">
        <is>
          <t>Platform/Cloud/Runtime Migration Unit (PMU)</t>
        </is>
      </c>
      <c r="L2" s="21" t="n"/>
      <c r="M2" s="21" t="n"/>
      <c r="N2" s="37" t="inlineStr">
        <is>
          <t>PKI/CLM/KMS Migration Unit (CMU)</t>
        </is>
      </c>
      <c r="O2" s="21" t="n"/>
      <c r="P2" s="21" t="n"/>
      <c r="Q2" s="37" t="inlineStr">
        <is>
          <t>Data &amp; Storage Migration Unit (DMU)</t>
        </is>
      </c>
      <c r="R2" s="21" t="n"/>
      <c r="S2" s="21" t="n"/>
      <c r="T2" s="37" t="inlineStr">
        <is>
          <t>DevSecOps &amp; Automation Unit (DAU)</t>
        </is>
      </c>
      <c r="U2" s="21" t="n"/>
      <c r="V2" s="21" t="n"/>
      <c r="W2" s="37" t="inlineStr">
        <is>
          <t>Vendor / Third-Party Unit (VTU)</t>
        </is>
      </c>
      <c r="X2" s="21" t="n"/>
      <c r="Y2" s="21" t="n"/>
      <c r="Z2" s="38" t="inlineStr">
        <is>
          <t>Totals</t>
        </is>
      </c>
      <c r="AB2" s="4" t="inlineStr">
        <is>
          <t>Row 2: UNIT TYPE HEADERS — 8 unit types, each with Small/Medium/Large (3 cols per unit, 24 value columns total).</t>
        </is>
      </c>
    </row>
    <row r="3">
      <c r="A3" s="17" t="inlineStr">
        <is>
          <t>Estimated Units</t>
        </is>
      </c>
      <c r="B3" s="39">
        <f>INPUT!B22</f>
        <v/>
      </c>
      <c r="C3" s="21" t="n"/>
      <c r="D3" s="21" t="n"/>
      <c r="E3" s="39">
        <f>INPUT!B23</f>
        <v/>
      </c>
      <c r="F3" s="21" t="n"/>
      <c r="G3" s="21" t="n"/>
      <c r="H3" s="39">
        <f>INPUT!B24</f>
        <v/>
      </c>
      <c r="I3" s="21" t="n"/>
      <c r="J3" s="21" t="n"/>
      <c r="K3" s="39">
        <f>INPUT!B25</f>
        <v/>
      </c>
      <c r="L3" s="21" t="n"/>
      <c r="M3" s="21" t="n"/>
      <c r="N3" s="39">
        <f>INPUT!B26</f>
        <v/>
      </c>
      <c r="O3" s="21" t="n"/>
      <c r="P3" s="21" t="n"/>
      <c r="Q3" s="39">
        <f>INPUT!B27</f>
        <v/>
      </c>
      <c r="R3" s="21" t="n"/>
      <c r="S3" s="21" t="n"/>
      <c r="T3" s="39">
        <f>INPUT!B28</f>
        <v/>
      </c>
      <c r="U3" s="21" t="n"/>
      <c r="V3" s="21" t="n"/>
      <c r="W3" s="39">
        <f>INPUT!B29</f>
        <v/>
      </c>
      <c r="X3" s="21" t="n"/>
      <c r="Y3" s="21" t="n"/>
      <c r="Z3" s="21" t="n"/>
      <c r="AB3" s="5" t="inlineStr">
        <is>
          <t>Row 3: ESTIMATED UNITS — Pulled from INPUT sheet. Total number of units to be migrated.</t>
        </is>
      </c>
    </row>
    <row r="4" ht="220" customHeight="1">
      <c r="A4" s="21" t="n"/>
      <c r="B4" s="40" t="inlineStr">
        <is>
          <t>Key Activities:
- Roll out central QS policies, standards, and patterns to local units
- Act as first-line decision and exception handling point
- Support local discovery, reporting, and risk visibility
- Coordinate vendors and delivery teams within the unit
- Feed local constraints and risks back to central governance
Size definitions:
- Small: Homogeneous tech stack, low regulatory variation
- Medium: Mixed platforms, moderate regulatory requirements
- Large: Diverse platforms, strong regulatory pressure</t>
        </is>
      </c>
      <c r="C4" s="21" t="n"/>
      <c r="D4" s="21" t="n"/>
      <c r="E4" s="40" t="inlineStr">
        <is>
          <t>Key Activities:
- Endpoint &amp; Protocol Mapping: Identify TLS, VPN, IPsec usage
- Standardization &amp; Design: Define cipher suites, TLS versions
- Implementation &amp; Automation: Update configs, automate cert lifecycle
- Migration &amp; Stabilization: Phase changes, resolve production issues
Size definitions:
- Small: Single network tier, automated certificate handling
- Medium: Regional infrastructure, partial automation, legacy protocols
- Large: Global/legacy network, manual lifecycle, high outage risk</t>
        </is>
      </c>
      <c r="F4" s="21" t="n"/>
      <c r="G4" s="21" t="n"/>
      <c r="H4" s="40" t="inlineStr">
        <is>
          <t>Key Activities:
- Discovery &amp; Planning: Identify cryptographic usage and exposure
- Design &amp; Pattern Selection: Choose approved algos, libraries
- Refactor &amp; Implementation: Replace hard-coded crypto, update configs
- Test, Deploy, Stabilize: Validate functionality and integrations
Size definitions:
- Small: Standard libraries, minimal crypto, limited integrations
- Medium: Mix of standard and embedded crypto, several dependencies
- Large: Custom/hardcoded crypto in business-critical legacy code</t>
        </is>
      </c>
      <c r="I4" s="21" t="n"/>
      <c r="J4" s="21" t="n"/>
      <c r="K4" s="40" t="inlineStr">
        <is>
          <t>Key Activities:
- Platform Crypto Assessment: Review defaults, gaps, workloads
- Baseline &amp; Architecture Design: Define hardened crypto configs
- Configuration &amp; Integration: Update platform settings, key/certs
- Rollout &amp; Validation: Rolling updates, stabilize runtime
Size definitions:
- Small: Cloud-native platform, default crypto configs
- Medium: Shared platform, custom crypto, partial HSM integration
- Large: Hybrid/bespoke runtime, inconsistent controls, high blast radius</t>
        </is>
      </c>
      <c r="L4" s="21" t="n"/>
      <c r="M4" s="21" t="n"/>
      <c r="N4" s="40" t="inlineStr">
        <is>
          <t>Key Activities:
- Establish crypto-agile trust foundations (CAs, trust anchors)
- Automate cert issuance, rotation, revocation across environments
- Migrate to quantum-safe algorithms in PKI and KMS
- Standardize key generation, storage, rotation (HSMs, KMS)
- Integrate PKI/KMS with apps, platforms, networks, DevSecOps
Size definitions:
- Small: One PKI/KMS instance, limited consumers
- Medium: 2-3 PKIs/KMS domains, shared services
- Large: Enterprise-wide PKI/KMS, complex trust chains</t>
        </is>
      </c>
      <c r="O4" s="21" t="n"/>
      <c r="P4" s="21" t="n"/>
      <c r="Q4" s="40" t="inlineStr">
        <is>
          <t>Key Activities:
- Data &amp; Risk Assessment: Identify long-lived, sensitive datasets
- Encryption Strategy Design: Define re-encryption, key lifecycle
- Implementation &amp; Re-Encryption: Apply crypto changes, migrate data
- Validation &amp; Stabilization: Confirm integrity, access, recovery
Size definitions:
- Small: Managed storage, built-in encryption, limited re-encryption
- Medium: Shared enterprise data, regulated data, custom key handling
- Large: High-volume, long-retention store, crypto changes impact availability</t>
        </is>
      </c>
      <c r="R4" s="21" t="n"/>
      <c r="S4" s="21" t="n"/>
      <c r="T4" s="40" t="inlineStr">
        <is>
          <t>Key Activities:
- Pipeline Crypto Mapping: Identify crypto controls and gaps in CI/CD
- Policy &amp; Control Design: Define validation rules, enforcement levels
- Integration &amp; Rollout: Embed checks into pipelines and workflows
- Tuning &amp; Enablement: Reduce noise, support developer adoption
Size definitions:
- Small: Single CI/CD pipeline, standard tooling
- Medium: Shared pipelines, policy tuning, exception handling
- Large: Federated DevOps, many pipelines, high enforcement risk</t>
        </is>
      </c>
      <c r="U4" s="21" t="n"/>
      <c r="V4" s="21" t="n"/>
      <c r="W4" s="40" t="inlineStr">
        <is>
          <t>Key Activities:
- Dependency Identification: Identify crypto reliance and criticality
- Requirement Definition: Define PQC and crypto expectations
- Vendor Engagement: Validate roadmaps and remediation plans
- Tracking &amp; Exception Handling: Monitor progress, manage residual risk
Size definitions:
- Small: Low-risk, replaceable vendor, minimal crypto dependency
- Medium: Core vendor, partial visibility, negotiable roadmap
- Large: Deeply embedded/regulated vendor, limited leverage</t>
        </is>
      </c>
      <c r="X4" s="21" t="n"/>
      <c r="Y4" s="21" t="n"/>
      <c r="Z4" s="21" t="n"/>
      <c r="AB4" s="5" t="inlineStr">
        <is>
          <t>Row 4: KEY ACTIVITIES — What each unit does and how Small/Medium/Large are defined.</t>
        </is>
      </c>
    </row>
    <row r="5">
      <c r="A5" s="17" t="inlineStr">
        <is>
          <t>Unit</t>
        </is>
      </c>
      <c r="B5" s="41" t="inlineStr">
        <is>
          <t>Per governed domains / BUs / geos</t>
        </is>
      </c>
      <c r="C5" s="21" t="n"/>
      <c r="D5" s="21" t="n"/>
      <c r="E5" s="41" t="inlineStr">
        <is>
          <t>Per network / connectivity domain</t>
        </is>
      </c>
      <c r="F5" s="21" t="n"/>
      <c r="G5" s="21" t="n"/>
      <c r="H5" s="41" t="inlineStr">
        <is>
          <t>Per application</t>
        </is>
      </c>
      <c r="I5" s="21" t="n"/>
      <c r="J5" s="21" t="n"/>
      <c r="K5" s="41" t="inlineStr">
        <is>
          <t>Per platform / cloud / runtime</t>
        </is>
      </c>
      <c r="L5" s="21" t="n"/>
      <c r="M5" s="21" t="n"/>
      <c r="N5" s="41" t="inlineStr">
        <is>
          <t>Per PKI / CLM / KMS domain</t>
        </is>
      </c>
      <c r="O5" s="21" t="n"/>
      <c r="P5" s="21" t="n"/>
      <c r="Q5" s="41" t="inlineStr">
        <is>
          <t>Per data &amp; storage class</t>
        </is>
      </c>
      <c r="R5" s="21" t="n"/>
      <c r="S5" s="21" t="n"/>
      <c r="T5" s="41" t="inlineStr">
        <is>
          <t>Per DevSecOps pipeline</t>
        </is>
      </c>
      <c r="U5" s="21" t="n"/>
      <c r="V5" s="21" t="n"/>
      <c r="W5" s="41" t="inlineStr">
        <is>
          <t>Per vendor third-party</t>
        </is>
      </c>
      <c r="X5" s="21" t="n"/>
      <c r="Y5" s="21" t="n"/>
      <c r="Z5" s="21" t="n"/>
      <c r="AB5" s="5" t="inlineStr">
        <is>
          <t>Row 5: PER-UNIT LABEL — What each unit represents (e.g., 'Per application' for AMU).</t>
        </is>
      </c>
    </row>
    <row r="6">
      <c r="A6" s="17" t="inlineStr">
        <is>
          <t>Sizing</t>
        </is>
      </c>
      <c r="B6" s="41" t="inlineStr">
        <is>
          <t>Small</t>
        </is>
      </c>
      <c r="C6" s="41" t="inlineStr">
        <is>
          <t>Medium</t>
        </is>
      </c>
      <c r="D6" s="41" t="inlineStr">
        <is>
          <t>Large</t>
        </is>
      </c>
      <c r="E6" s="41" t="inlineStr">
        <is>
          <t>Small</t>
        </is>
      </c>
      <c r="F6" s="41" t="inlineStr">
        <is>
          <t>Medium</t>
        </is>
      </c>
      <c r="G6" s="41" t="inlineStr">
        <is>
          <t>Large</t>
        </is>
      </c>
      <c r="H6" s="41" t="inlineStr">
        <is>
          <t>Small</t>
        </is>
      </c>
      <c r="I6" s="41" t="inlineStr">
        <is>
          <t>Medium</t>
        </is>
      </c>
      <c r="J6" s="41" t="inlineStr">
        <is>
          <t>Large</t>
        </is>
      </c>
      <c r="K6" s="41" t="inlineStr">
        <is>
          <t>Small</t>
        </is>
      </c>
      <c r="L6" s="41" t="inlineStr">
        <is>
          <t>Medium</t>
        </is>
      </c>
      <c r="M6" s="41" t="inlineStr">
        <is>
          <t>Large</t>
        </is>
      </c>
      <c r="N6" s="41" t="inlineStr">
        <is>
          <t>Small</t>
        </is>
      </c>
      <c r="O6" s="41" t="inlineStr">
        <is>
          <t>Medium</t>
        </is>
      </c>
      <c r="P6" s="41" t="inlineStr">
        <is>
          <t>Large</t>
        </is>
      </c>
      <c r="Q6" s="41" t="inlineStr">
        <is>
          <t>Small</t>
        </is>
      </c>
      <c r="R6" s="41" t="inlineStr">
        <is>
          <t>Medium</t>
        </is>
      </c>
      <c r="S6" s="41" t="inlineStr">
        <is>
          <t>Large</t>
        </is>
      </c>
      <c r="T6" s="41" t="inlineStr">
        <is>
          <t>Small</t>
        </is>
      </c>
      <c r="U6" s="41" t="inlineStr">
        <is>
          <t>Medium</t>
        </is>
      </c>
      <c r="V6" s="41" t="inlineStr">
        <is>
          <t>Large</t>
        </is>
      </c>
      <c r="W6" s="41" t="inlineStr">
        <is>
          <t>Small</t>
        </is>
      </c>
      <c r="X6" s="41" t="inlineStr">
        <is>
          <t>Medium</t>
        </is>
      </c>
      <c r="Y6" s="41" t="inlineStr">
        <is>
          <t>Large</t>
        </is>
      </c>
      <c r="Z6" s="21" t="n"/>
      <c r="AB6" s="5" t="inlineStr">
        <is>
          <t>Row 6: SIZING — Small, Medium, Large. Complexity within each unit type.</t>
        </is>
      </c>
    </row>
    <row r="7">
      <c r="A7" s="17" t="inlineStr">
        <is>
          <t>Unit % Split per complexity</t>
        </is>
      </c>
      <c r="B7" s="42" t="n">
        <v>0.55</v>
      </c>
      <c r="C7" s="42" t="n">
        <v>0.3</v>
      </c>
      <c r="D7" s="42" t="n">
        <v>0.15</v>
      </c>
      <c r="E7" s="42" t="n">
        <v>0.55</v>
      </c>
      <c r="F7" s="42" t="n">
        <v>0.3</v>
      </c>
      <c r="G7" s="42" t="n">
        <v>0.15</v>
      </c>
      <c r="H7" s="42" t="n">
        <v>0.55</v>
      </c>
      <c r="I7" s="42" t="n">
        <v>0.25</v>
      </c>
      <c r="J7" s="42" t="n">
        <v>0.2</v>
      </c>
      <c r="K7" s="42" t="n">
        <v>0.45</v>
      </c>
      <c r="L7" s="42" t="n">
        <v>0.3</v>
      </c>
      <c r="M7" s="42" t="n">
        <v>0.25</v>
      </c>
      <c r="N7" s="42" t="n">
        <v>0.3</v>
      </c>
      <c r="O7" s="42" t="n">
        <v>0.5</v>
      </c>
      <c r="P7" s="42" t="n">
        <v>0.2</v>
      </c>
      <c r="Q7" s="42" t="n">
        <v>0.6</v>
      </c>
      <c r="R7" s="42" t="n">
        <v>0.25</v>
      </c>
      <c r="S7" s="42" t="n">
        <v>0.15</v>
      </c>
      <c r="T7" s="42" t="n">
        <v>0.45</v>
      </c>
      <c r="U7" s="42" t="n">
        <v>0.4</v>
      </c>
      <c r="V7" s="42" t="n">
        <v>0.15</v>
      </c>
      <c r="W7" s="42" t="n">
        <v>0.7</v>
      </c>
      <c r="X7" s="42" t="n">
        <v>0.2</v>
      </c>
      <c r="Y7" s="42" t="n">
        <v>0.1</v>
      </c>
      <c r="Z7" s="21" t="n"/>
      <c r="AB7" s="5" t="inlineStr">
        <is>
          <t>Row 7: UNIT % SPLIT — Client-editable. % of units that are S/M/L. Must sum to 100%.
Example: AMU 55/25/20 means 55% of 8000 apps = 4400 are 'Small'.</t>
        </is>
      </c>
    </row>
    <row r="8">
      <c r="A8" s="17" t="inlineStr">
        <is>
          <t>Unit Count</t>
        </is>
      </c>
      <c r="B8" s="43">
        <f>B3*B7</f>
        <v/>
      </c>
      <c r="C8" s="43">
        <f>B3*C7</f>
        <v/>
      </c>
      <c r="D8" s="43">
        <f>B3*D7</f>
        <v/>
      </c>
      <c r="E8" s="43">
        <f>E3*E7</f>
        <v/>
      </c>
      <c r="F8" s="43">
        <f>E3*F7</f>
        <v/>
      </c>
      <c r="G8" s="43">
        <f>E3*G7</f>
        <v/>
      </c>
      <c r="H8" s="43">
        <f>H3*H7</f>
        <v/>
      </c>
      <c r="I8" s="43">
        <f>H3*I7</f>
        <v/>
      </c>
      <c r="J8" s="43">
        <f>H3*J7</f>
        <v/>
      </c>
      <c r="K8" s="43">
        <f>K3*K7</f>
        <v/>
      </c>
      <c r="L8" s="43">
        <f>K3*L7</f>
        <v/>
      </c>
      <c r="M8" s="43">
        <f>K3*M7</f>
        <v/>
      </c>
      <c r="N8" s="43">
        <f>N3*N7</f>
        <v/>
      </c>
      <c r="O8" s="43">
        <f>N3*O7</f>
        <v/>
      </c>
      <c r="P8" s="43">
        <f>N3*P7</f>
        <v/>
      </c>
      <c r="Q8" s="43">
        <f>Q3*Q7</f>
        <v/>
      </c>
      <c r="R8" s="43">
        <f>Q3*R7</f>
        <v/>
      </c>
      <c r="S8" s="43">
        <f>Q3*S7</f>
        <v/>
      </c>
      <c r="T8" s="43">
        <f>T3*T7</f>
        <v/>
      </c>
      <c r="U8" s="43">
        <f>T3*U7</f>
        <v/>
      </c>
      <c r="V8" s="43">
        <f>T3*V7</f>
        <v/>
      </c>
      <c r="W8" s="43">
        <f>W3*W7</f>
        <v/>
      </c>
      <c r="X8" s="43">
        <f>W3*X7</f>
        <v/>
      </c>
      <c r="Y8" s="43">
        <f>W3*Y7</f>
        <v/>
      </c>
      <c r="Z8" s="21" t="n"/>
      <c r="AB8" s="5" t="inlineStr">
        <is>
          <t>Row 8: UNIT COUNT = Estimated Units x Unit % Split.
Example: FAU Small = 22 x 55% = 12.1 units.</t>
        </is>
      </c>
    </row>
    <row r="9">
      <c r="A9" s="17" t="inlineStr">
        <is>
          <t>Base Effort (FTE-months)</t>
        </is>
      </c>
      <c r="B9" s="44" t="n">
        <v>2</v>
      </c>
      <c r="C9" s="44" t="n">
        <v>4</v>
      </c>
      <c r="D9" s="44" t="n">
        <v>6</v>
      </c>
      <c r="E9" s="44" t="n">
        <v>1</v>
      </c>
      <c r="F9" s="44" t="n">
        <v>3</v>
      </c>
      <c r="G9" s="44" t="n">
        <v>6</v>
      </c>
      <c r="H9" s="43">
        <f>ESTIMATE!E32*1.0</f>
        <v/>
      </c>
      <c r="I9" s="43">
        <f>ESTIMATE!E32*2.0</f>
        <v/>
      </c>
      <c r="J9" s="43">
        <f>ESTIMATE!E32*4.0</f>
        <v/>
      </c>
      <c r="K9" s="44" t="n">
        <v>2</v>
      </c>
      <c r="L9" s="44" t="n">
        <v>4</v>
      </c>
      <c r="M9" s="44" t="n">
        <v>8</v>
      </c>
      <c r="N9" s="44" t="n">
        <v>2</v>
      </c>
      <c r="O9" s="44" t="n">
        <v>5</v>
      </c>
      <c r="P9" s="44" t="n">
        <v>9</v>
      </c>
      <c r="Q9" s="44" t="n">
        <v>1</v>
      </c>
      <c r="R9" s="44" t="n">
        <v>2</v>
      </c>
      <c r="S9" s="44" t="n">
        <v>5</v>
      </c>
      <c r="T9" s="44" t="n">
        <v>1</v>
      </c>
      <c r="U9" s="44" t="n">
        <v>2</v>
      </c>
      <c r="V9" s="44" t="n">
        <v>4</v>
      </c>
      <c r="W9" s="44" t="n">
        <v>0.5</v>
      </c>
      <c r="X9" s="44" t="n">
        <v>1.5</v>
      </c>
      <c r="Y9" s="44" t="n">
        <v>3</v>
      </c>
      <c r="Z9" s="21" t="n"/>
      <c r="AB9" s="5" t="inlineStr">
        <is>
          <t>Row 9: BASE EFFORT (FTE-months) per unit.
  Most units: IBM-standard value.
  AMU: Auto-calculated from ESTIMATE!E32 x size multiplier (1.0/2.0/4.0).</t>
        </is>
      </c>
    </row>
    <row r="10">
      <c r="A10" s="17" t="inlineStr">
        <is>
          <t>Learning Curve Factor</t>
        </is>
      </c>
      <c r="B10" s="45" t="n">
        <v>1</v>
      </c>
      <c r="C10" s="45" t="n">
        <v>1</v>
      </c>
      <c r="D10" s="45" t="n">
        <v>1</v>
      </c>
      <c r="E10" s="45" t="n">
        <v>1</v>
      </c>
      <c r="F10" s="45" t="n">
        <v>1</v>
      </c>
      <c r="G10" s="45" t="n">
        <v>1</v>
      </c>
      <c r="H10" s="46">
        <f>(MIN(50,INPUT!B24)*CONFIG!C42+MIN(150,MAX(0,INPUT!B24-50))*CONFIG!C43+MIN(800,MAX(0,INPUT!B24-200))*CONFIG!C44+MIN(3000,MAX(0,INPUT!B24-1000))*CONFIG!C45+MAX(0,INPUT!B24-4000)*CONFIG!C46)/INPUT!B24</f>
        <v/>
      </c>
      <c r="I10" s="46">
        <f>(MIN(50,INPUT!B24)*CONFIG!C42+MIN(150,MAX(0,INPUT!B24-50))*CONFIG!C43+MIN(800,MAX(0,INPUT!B24-200))*CONFIG!C44+MIN(3000,MAX(0,INPUT!B24-1000))*CONFIG!C45+MAX(0,INPUT!B24-4000)*CONFIG!C46)/INPUT!B24</f>
        <v/>
      </c>
      <c r="J10" s="46">
        <f>(MIN(50,INPUT!B24)*CONFIG!C42+MIN(150,MAX(0,INPUT!B24-50))*CONFIG!C43+MIN(800,MAX(0,INPUT!B24-200))*CONFIG!C44+MIN(3000,MAX(0,INPUT!B24-1000))*CONFIG!C45+MAX(0,INPUT!B24-4000)*CONFIG!C46)/INPUT!B24</f>
        <v/>
      </c>
      <c r="K10" s="45" t="n">
        <v>1</v>
      </c>
      <c r="L10" s="45" t="n">
        <v>1</v>
      </c>
      <c r="M10" s="45" t="n">
        <v>1</v>
      </c>
      <c r="N10" s="45" t="n">
        <v>1</v>
      </c>
      <c r="O10" s="45" t="n">
        <v>1</v>
      </c>
      <c r="P10" s="45" t="n">
        <v>1</v>
      </c>
      <c r="Q10" s="45" t="n">
        <v>1</v>
      </c>
      <c r="R10" s="45" t="n">
        <v>1</v>
      </c>
      <c r="S10" s="45" t="n">
        <v>1</v>
      </c>
      <c r="T10" s="45" t="n">
        <v>1</v>
      </c>
      <c r="U10" s="45" t="n">
        <v>1</v>
      </c>
      <c r="V10" s="45" t="n">
        <v>1</v>
      </c>
      <c r="W10" s="45" t="n">
        <v>1</v>
      </c>
      <c r="X10" s="45" t="n">
        <v>1</v>
      </c>
      <c r="Y10" s="45" t="n">
        <v>1</v>
      </c>
      <c r="Z10" s="21" t="n"/>
      <c r="AB10" s="5" t="inlineStr">
        <is>
          <t>Row 10: LEARNING CURVE FACTOR — Only AMU (value &lt;1). All others = 1.0.
With 8000 apps: factor = 0.4119 (~41% of baseline cost).</t>
        </is>
      </c>
    </row>
    <row r="11">
      <c r="A11" s="17" t="inlineStr">
        <is>
          <t>Effective Effort per Unit</t>
        </is>
      </c>
      <c r="B11" s="47">
        <f>B9*B10</f>
        <v/>
      </c>
      <c r="C11" s="47">
        <f>C9*C10</f>
        <v/>
      </c>
      <c r="D11" s="47">
        <f>D9*D10</f>
        <v/>
      </c>
      <c r="E11" s="47">
        <f>E9*E10</f>
        <v/>
      </c>
      <c r="F11" s="47">
        <f>F9*F10</f>
        <v/>
      </c>
      <c r="G11" s="47">
        <f>G9*G10</f>
        <v/>
      </c>
      <c r="H11" s="47">
        <f>H9*H10</f>
        <v/>
      </c>
      <c r="I11" s="47">
        <f>I9*I10</f>
        <v/>
      </c>
      <c r="J11" s="47">
        <f>J9*J10</f>
        <v/>
      </c>
      <c r="K11" s="47">
        <f>K9*K10</f>
        <v/>
      </c>
      <c r="L11" s="47">
        <f>L9*L10</f>
        <v/>
      </c>
      <c r="M11" s="47">
        <f>M9*M10</f>
        <v/>
      </c>
      <c r="N11" s="47">
        <f>N9*N10</f>
        <v/>
      </c>
      <c r="O11" s="47">
        <f>O9*O10</f>
        <v/>
      </c>
      <c r="P11" s="47">
        <f>P9*P10</f>
        <v/>
      </c>
      <c r="Q11" s="47">
        <f>Q9*Q10</f>
        <v/>
      </c>
      <c r="R11" s="47">
        <f>R9*R10</f>
        <v/>
      </c>
      <c r="S11" s="47">
        <f>S9*S10</f>
        <v/>
      </c>
      <c r="T11" s="47">
        <f>T9*T10</f>
        <v/>
      </c>
      <c r="U11" s="47">
        <f>U9*U10</f>
        <v/>
      </c>
      <c r="V11" s="47">
        <f>V9*V10</f>
        <v/>
      </c>
      <c r="W11" s="47">
        <f>W9*W10</f>
        <v/>
      </c>
      <c r="X11" s="47">
        <f>X9*X10</f>
        <v/>
      </c>
      <c r="Y11" s="47">
        <f>Y9*Y10</f>
        <v/>
      </c>
      <c r="Z11" s="21" t="n"/>
      <c r="AB11" s="5" t="inlineStr">
        <is>
          <t>Row 11: EFFECTIVE EFFORT = Base Effort x Learning Curve Factor.</t>
        </is>
      </c>
    </row>
    <row r="12">
      <c r="A12" s="17" t="inlineStr">
        <is>
          <t>Total Effort (FTE-months)</t>
        </is>
      </c>
      <c r="B12" s="43">
        <f>B8*B11</f>
        <v/>
      </c>
      <c r="C12" s="43">
        <f>C8*C11</f>
        <v/>
      </c>
      <c r="D12" s="43">
        <f>D8*D11</f>
        <v/>
      </c>
      <c r="E12" s="43">
        <f>E8*E11</f>
        <v/>
      </c>
      <c r="F12" s="43">
        <f>F8*F11</f>
        <v/>
      </c>
      <c r="G12" s="43">
        <f>G8*G11</f>
        <v/>
      </c>
      <c r="H12" s="43">
        <f>H8*H11</f>
        <v/>
      </c>
      <c r="I12" s="43">
        <f>I8*I11</f>
        <v/>
      </c>
      <c r="J12" s="43">
        <f>J8*J11</f>
        <v/>
      </c>
      <c r="K12" s="43">
        <f>K8*K11</f>
        <v/>
      </c>
      <c r="L12" s="43">
        <f>L8*L11</f>
        <v/>
      </c>
      <c r="M12" s="43">
        <f>M8*M11</f>
        <v/>
      </c>
      <c r="N12" s="43">
        <f>N8*N11</f>
        <v/>
      </c>
      <c r="O12" s="43">
        <f>O8*O11</f>
        <v/>
      </c>
      <c r="P12" s="43">
        <f>P8*P11</f>
        <v/>
      </c>
      <c r="Q12" s="43">
        <f>Q8*Q11</f>
        <v/>
      </c>
      <c r="R12" s="43">
        <f>R8*R11</f>
        <v/>
      </c>
      <c r="S12" s="43">
        <f>S8*S11</f>
        <v/>
      </c>
      <c r="T12" s="43">
        <f>T8*T11</f>
        <v/>
      </c>
      <c r="U12" s="43">
        <f>U8*U11</f>
        <v/>
      </c>
      <c r="V12" s="43">
        <f>V8*V11</f>
        <v/>
      </c>
      <c r="W12" s="43">
        <f>W8*W11</f>
        <v/>
      </c>
      <c r="X12" s="43">
        <f>X8*X11</f>
        <v/>
      </c>
      <c r="Y12" s="43">
        <f>Y8*Y11</f>
        <v/>
      </c>
      <c r="Z12" s="21" t="n"/>
      <c r="AB12" s="5" t="inlineStr">
        <is>
          <t>Row 12: TOTAL EFFORT = Unit Count x Effective Effort.
Example: AMU Small = 4400 x 0.638 = 2,807 FTE-months.</t>
        </is>
      </c>
    </row>
    <row r="13">
      <c r="A13" s="17" t="inlineStr">
        <is>
          <t>Blended FTE-Month Rate (USD)</t>
        </is>
      </c>
      <c r="B13" s="48">
        <f>CONFIG!G16</f>
        <v/>
      </c>
      <c r="C13" s="48">
        <f>CONFIG!G16</f>
        <v/>
      </c>
      <c r="D13" s="48">
        <f>CONFIG!G16</f>
        <v/>
      </c>
      <c r="E13" s="48">
        <f>CONFIG!G17</f>
        <v/>
      </c>
      <c r="F13" s="48">
        <f>CONFIG!G17</f>
        <v/>
      </c>
      <c r="G13" s="48">
        <f>CONFIG!G17</f>
        <v/>
      </c>
      <c r="H13" s="48">
        <f>CONFIG!G18</f>
        <v/>
      </c>
      <c r="I13" s="48">
        <f>CONFIG!G18</f>
        <v/>
      </c>
      <c r="J13" s="48">
        <f>CONFIG!G18</f>
        <v/>
      </c>
      <c r="K13" s="48">
        <f>CONFIG!G19</f>
        <v/>
      </c>
      <c r="L13" s="48">
        <f>CONFIG!G19</f>
        <v/>
      </c>
      <c r="M13" s="48">
        <f>CONFIG!G19</f>
        <v/>
      </c>
      <c r="N13" s="48">
        <f>CONFIG!G20</f>
        <v/>
      </c>
      <c r="O13" s="48">
        <f>CONFIG!G20</f>
        <v/>
      </c>
      <c r="P13" s="48">
        <f>CONFIG!G20</f>
        <v/>
      </c>
      <c r="Q13" s="48">
        <f>CONFIG!G21</f>
        <v/>
      </c>
      <c r="R13" s="48">
        <f>CONFIG!G21</f>
        <v/>
      </c>
      <c r="S13" s="48">
        <f>CONFIG!G21</f>
        <v/>
      </c>
      <c r="T13" s="48">
        <f>CONFIG!G22</f>
        <v/>
      </c>
      <c r="U13" s="48">
        <f>CONFIG!G22</f>
        <v/>
      </c>
      <c r="V13" s="48">
        <f>CONFIG!G22</f>
        <v/>
      </c>
      <c r="W13" s="48">
        <f>CONFIG!G23</f>
        <v/>
      </c>
      <c r="X13" s="48">
        <f>CONFIG!G23</f>
        <v/>
      </c>
      <c r="Y13" s="48">
        <f>CONFIG!G23</f>
        <v/>
      </c>
      <c r="Z13" s="21" t="n"/>
      <c r="AB13" s="5" t="inlineStr">
        <is>
          <t>Row 13: BLENDED FTE-MONTH RATE from CONFIG per unit type.</t>
        </is>
      </c>
    </row>
    <row r="14">
      <c r="A14" s="17" t="inlineStr">
        <is>
          <t>Unit Labour Cost (USD)</t>
        </is>
      </c>
      <c r="B14" s="48">
        <f>B11*B13</f>
        <v/>
      </c>
      <c r="C14" s="48">
        <f>C11*C13</f>
        <v/>
      </c>
      <c r="D14" s="48">
        <f>D11*D13</f>
        <v/>
      </c>
      <c r="E14" s="48">
        <f>E11*E13</f>
        <v/>
      </c>
      <c r="F14" s="48">
        <f>F11*F13</f>
        <v/>
      </c>
      <c r="G14" s="48">
        <f>G11*G13</f>
        <v/>
      </c>
      <c r="H14" s="48">
        <f>H11*H13</f>
        <v/>
      </c>
      <c r="I14" s="48">
        <f>I11*I13</f>
        <v/>
      </c>
      <c r="J14" s="48">
        <f>J11*J13</f>
        <v/>
      </c>
      <c r="K14" s="48">
        <f>K11*K13</f>
        <v/>
      </c>
      <c r="L14" s="48">
        <f>L11*L13</f>
        <v/>
      </c>
      <c r="M14" s="48">
        <f>M11*M13</f>
        <v/>
      </c>
      <c r="N14" s="48">
        <f>N11*N13</f>
        <v/>
      </c>
      <c r="O14" s="48">
        <f>O11*O13</f>
        <v/>
      </c>
      <c r="P14" s="48">
        <f>P11*P13</f>
        <v/>
      </c>
      <c r="Q14" s="48">
        <f>Q11*Q13</f>
        <v/>
      </c>
      <c r="R14" s="48">
        <f>R11*R13</f>
        <v/>
      </c>
      <c r="S14" s="48">
        <f>S11*S13</f>
        <v/>
      </c>
      <c r="T14" s="48">
        <f>T11*T13</f>
        <v/>
      </c>
      <c r="U14" s="48">
        <f>U11*U13</f>
        <v/>
      </c>
      <c r="V14" s="48">
        <f>V11*V13</f>
        <v/>
      </c>
      <c r="W14" s="48">
        <f>W11*W13</f>
        <v/>
      </c>
      <c r="X14" s="48">
        <f>X11*X13</f>
        <v/>
      </c>
      <c r="Y14" s="48">
        <f>Y11*Y13</f>
        <v/>
      </c>
      <c r="Z14" s="21" t="n"/>
      <c r="AB14" s="5" t="inlineStr">
        <is>
          <t>Row 14: UNIT LABOUR COST = Effective Effort x Blended Rate.</t>
        </is>
      </c>
    </row>
    <row r="15">
      <c r="A15" s="17" t="inlineStr">
        <is>
          <t>Labour Cost (USD)</t>
        </is>
      </c>
      <c r="B15" s="48">
        <f>B8*B14</f>
        <v/>
      </c>
      <c r="C15" s="48">
        <f>C8*C14</f>
        <v/>
      </c>
      <c r="D15" s="48">
        <f>D8*D14</f>
        <v/>
      </c>
      <c r="E15" s="48">
        <f>E8*E14</f>
        <v/>
      </c>
      <c r="F15" s="48">
        <f>F8*F14</f>
        <v/>
      </c>
      <c r="G15" s="48">
        <f>G8*G14</f>
        <v/>
      </c>
      <c r="H15" s="48">
        <f>H8*H14</f>
        <v/>
      </c>
      <c r="I15" s="48">
        <f>I8*I14</f>
        <v/>
      </c>
      <c r="J15" s="48">
        <f>J8*J14</f>
        <v/>
      </c>
      <c r="K15" s="48">
        <f>K8*K14</f>
        <v/>
      </c>
      <c r="L15" s="48">
        <f>L8*L14</f>
        <v/>
      </c>
      <c r="M15" s="48">
        <f>M8*M14</f>
        <v/>
      </c>
      <c r="N15" s="48">
        <f>N8*N14</f>
        <v/>
      </c>
      <c r="O15" s="48">
        <f>O8*O14</f>
        <v/>
      </c>
      <c r="P15" s="48">
        <f>P8*P14</f>
        <v/>
      </c>
      <c r="Q15" s="48">
        <f>Q8*Q14</f>
        <v/>
      </c>
      <c r="R15" s="48">
        <f>R8*R14</f>
        <v/>
      </c>
      <c r="S15" s="48">
        <f>S8*S14</f>
        <v/>
      </c>
      <c r="T15" s="48">
        <f>T8*T14</f>
        <v/>
      </c>
      <c r="U15" s="48">
        <f>U8*U14</f>
        <v/>
      </c>
      <c r="V15" s="48">
        <f>V8*V14</f>
        <v/>
      </c>
      <c r="W15" s="48">
        <f>W8*W14</f>
        <v/>
      </c>
      <c r="X15" s="48">
        <f>X8*X14</f>
        <v/>
      </c>
      <c r="Y15" s="48">
        <f>Y8*Y14</f>
        <v/>
      </c>
      <c r="Z15" s="21" t="n"/>
      <c r="AB15" s="5" t="inlineStr">
        <is>
          <t>Row 15: LABOUR COST = Unit Count x Unit Labour Cost.</t>
        </is>
      </c>
    </row>
    <row r="16">
      <c r="A16" s="17" t="inlineStr">
        <is>
          <t>Tooling / Tech Overhead %</t>
        </is>
      </c>
      <c r="B16" s="49" t="n">
        <v>0</v>
      </c>
      <c r="C16" s="49" t="n">
        <v>0</v>
      </c>
      <c r="D16" s="49" t="n">
        <v>0</v>
      </c>
      <c r="E16" s="49" t="n">
        <v>0.1</v>
      </c>
      <c r="F16" s="49" t="n">
        <v>0.1</v>
      </c>
      <c r="G16" s="49" t="n">
        <v>0.1</v>
      </c>
      <c r="H16" s="49" t="n">
        <v>0.15</v>
      </c>
      <c r="I16" s="49" t="n">
        <v>0.15</v>
      </c>
      <c r="J16" s="49" t="n">
        <v>0.15</v>
      </c>
      <c r="K16" s="49" t="n">
        <v>0.08</v>
      </c>
      <c r="L16" s="49" t="n">
        <v>0.08</v>
      </c>
      <c r="M16" s="49" t="n">
        <v>0.08</v>
      </c>
      <c r="N16" s="49" t="n">
        <v>0.2</v>
      </c>
      <c r="O16" s="49" t="n">
        <v>0.2</v>
      </c>
      <c r="P16" s="49" t="n">
        <v>0.2</v>
      </c>
      <c r="Q16" s="49" t="n">
        <v>0.12</v>
      </c>
      <c r="R16" s="49" t="n">
        <v>0.12</v>
      </c>
      <c r="S16" s="49" t="n">
        <v>0.12</v>
      </c>
      <c r="T16" s="49" t="n">
        <v>0</v>
      </c>
      <c r="U16" s="49" t="n">
        <v>0</v>
      </c>
      <c r="V16" s="49" t="n">
        <v>0</v>
      </c>
      <c r="W16" s="49" t="n">
        <v>0.05</v>
      </c>
      <c r="X16" s="49" t="n">
        <v>0.05</v>
      </c>
      <c r="Y16" s="49" t="n">
        <v>0.05</v>
      </c>
      <c r="Z16" s="21" t="n"/>
      <c r="AB16" s="5" t="inlineStr">
        <is>
          <t>Row 16: TOOLING % — IBM-standard. Varies: 0% FAU/DAU, 8% PMU, 10% NMU, 12% DMU, 15% AMU, 20% CMU, 5% VTU.</t>
        </is>
      </c>
    </row>
    <row r="17">
      <c r="A17" s="17" t="inlineStr">
        <is>
          <t>Tooling Overhead Cost (USD)</t>
        </is>
      </c>
      <c r="B17" s="48">
        <f>B15*B16</f>
        <v/>
      </c>
      <c r="C17" s="48">
        <f>C15*C16</f>
        <v/>
      </c>
      <c r="D17" s="48">
        <f>D15*D16</f>
        <v/>
      </c>
      <c r="E17" s="48">
        <f>E15*E16</f>
        <v/>
      </c>
      <c r="F17" s="48">
        <f>F15*F16</f>
        <v/>
      </c>
      <c r="G17" s="48">
        <f>G15*G16</f>
        <v/>
      </c>
      <c r="H17" s="48">
        <f>H15*H16</f>
        <v/>
      </c>
      <c r="I17" s="48">
        <f>I15*I16</f>
        <v/>
      </c>
      <c r="J17" s="48">
        <f>J15*J16</f>
        <v/>
      </c>
      <c r="K17" s="48">
        <f>K15*K16</f>
        <v/>
      </c>
      <c r="L17" s="48">
        <f>L15*L16</f>
        <v/>
      </c>
      <c r="M17" s="48">
        <f>M15*M16</f>
        <v/>
      </c>
      <c r="N17" s="48">
        <f>N15*N16</f>
        <v/>
      </c>
      <c r="O17" s="48">
        <f>O15*O16</f>
        <v/>
      </c>
      <c r="P17" s="48">
        <f>P15*P16</f>
        <v/>
      </c>
      <c r="Q17" s="48">
        <f>Q15*Q16</f>
        <v/>
      </c>
      <c r="R17" s="48">
        <f>R15*R16</f>
        <v/>
      </c>
      <c r="S17" s="48">
        <f>S15*S16</f>
        <v/>
      </c>
      <c r="T17" s="48">
        <f>T15*T16</f>
        <v/>
      </c>
      <c r="U17" s="48">
        <f>U15*U16</f>
        <v/>
      </c>
      <c r="V17" s="48">
        <f>V15*V16</f>
        <v/>
      </c>
      <c r="W17" s="48">
        <f>W15*W16</f>
        <v/>
      </c>
      <c r="X17" s="48">
        <f>X15*X16</f>
        <v/>
      </c>
      <c r="Y17" s="48">
        <f>Y15*Y16</f>
        <v/>
      </c>
      <c r="Z17" s="21" t="n"/>
      <c r="AB17" s="5" t="inlineStr">
        <is>
          <t>Row 17: TOOLING COST = Labour Cost x Tooling %.</t>
        </is>
      </c>
    </row>
    <row r="18">
      <c r="A18" s="17" t="inlineStr">
        <is>
          <t>Subtotal</t>
        </is>
      </c>
      <c r="B18" s="48">
        <f>B15+B17</f>
        <v/>
      </c>
      <c r="C18" s="48">
        <f>C15+C17</f>
        <v/>
      </c>
      <c r="D18" s="48">
        <f>D15+D17</f>
        <v/>
      </c>
      <c r="E18" s="48">
        <f>E15+E17</f>
        <v/>
      </c>
      <c r="F18" s="48">
        <f>F15+F17</f>
        <v/>
      </c>
      <c r="G18" s="48">
        <f>G15+G17</f>
        <v/>
      </c>
      <c r="H18" s="48">
        <f>H15+H17</f>
        <v/>
      </c>
      <c r="I18" s="48">
        <f>I15+I17</f>
        <v/>
      </c>
      <c r="J18" s="48">
        <f>J15+J17</f>
        <v/>
      </c>
      <c r="K18" s="48">
        <f>K15+K17</f>
        <v/>
      </c>
      <c r="L18" s="48">
        <f>L15+L17</f>
        <v/>
      </c>
      <c r="M18" s="48">
        <f>M15+M17</f>
        <v/>
      </c>
      <c r="N18" s="48">
        <f>N15+N17</f>
        <v/>
      </c>
      <c r="O18" s="48">
        <f>O15+O17</f>
        <v/>
      </c>
      <c r="P18" s="48">
        <f>P15+P17</f>
        <v/>
      </c>
      <c r="Q18" s="48">
        <f>Q15+Q17</f>
        <v/>
      </c>
      <c r="R18" s="48">
        <f>R15+R17</f>
        <v/>
      </c>
      <c r="S18" s="48">
        <f>S15+S17</f>
        <v/>
      </c>
      <c r="T18" s="48">
        <f>T15+T17</f>
        <v/>
      </c>
      <c r="U18" s="48">
        <f>U15+U17</f>
        <v/>
      </c>
      <c r="V18" s="48">
        <f>V15+V17</f>
        <v/>
      </c>
      <c r="W18" s="48">
        <f>W15+W17</f>
        <v/>
      </c>
      <c r="X18" s="48">
        <f>X15+X17</f>
        <v/>
      </c>
      <c r="Y18" s="48">
        <f>Y15+Y17</f>
        <v/>
      </c>
      <c r="Z18" s="21" t="n"/>
      <c r="AB18" s="5" t="inlineStr">
        <is>
          <t>Row 18: SUBTOTAL = Labour + Tooling.</t>
        </is>
      </c>
    </row>
    <row r="19">
      <c r="A19" s="17" t="inlineStr">
        <is>
          <t>Risk Contingency %</t>
        </is>
      </c>
      <c r="B19" s="50">
        <f>CONFIG!B27</f>
        <v/>
      </c>
      <c r="C19" s="50">
        <f>CONFIG!B27</f>
        <v/>
      </c>
      <c r="D19" s="50">
        <f>CONFIG!B27</f>
        <v/>
      </c>
      <c r="E19" s="50">
        <f>CONFIG!B27</f>
        <v/>
      </c>
      <c r="F19" s="50">
        <f>CONFIG!B27</f>
        <v/>
      </c>
      <c r="G19" s="50">
        <f>CONFIG!B27</f>
        <v/>
      </c>
      <c r="H19" s="50">
        <f>CONFIG!B27</f>
        <v/>
      </c>
      <c r="I19" s="50">
        <f>CONFIG!B27</f>
        <v/>
      </c>
      <c r="J19" s="50">
        <f>CONFIG!B27</f>
        <v/>
      </c>
      <c r="K19" s="50">
        <f>CONFIG!B27</f>
        <v/>
      </c>
      <c r="L19" s="50">
        <f>CONFIG!B27</f>
        <v/>
      </c>
      <c r="M19" s="50">
        <f>CONFIG!B27</f>
        <v/>
      </c>
      <c r="N19" s="50">
        <f>CONFIG!B27</f>
        <v/>
      </c>
      <c r="O19" s="50">
        <f>CONFIG!B27</f>
        <v/>
      </c>
      <c r="P19" s="50">
        <f>CONFIG!B27</f>
        <v/>
      </c>
      <c r="Q19" s="50">
        <f>CONFIG!B27</f>
        <v/>
      </c>
      <c r="R19" s="50">
        <f>CONFIG!B27</f>
        <v/>
      </c>
      <c r="S19" s="50">
        <f>CONFIG!B27</f>
        <v/>
      </c>
      <c r="T19" s="50">
        <f>CONFIG!B27</f>
        <v/>
      </c>
      <c r="U19" s="50">
        <f>CONFIG!B27</f>
        <v/>
      </c>
      <c r="V19" s="50">
        <f>CONFIG!B27</f>
        <v/>
      </c>
      <c r="W19" s="50">
        <f>CONFIG!B27</f>
        <v/>
      </c>
      <c r="X19" s="50">
        <f>CONFIG!B27</f>
        <v/>
      </c>
      <c r="Y19" s="50">
        <f>CONFIG!B27</f>
        <v/>
      </c>
      <c r="Z19" s="21" t="n"/>
      <c r="AB19" s="5" t="inlineStr">
        <is>
          <t>Row 19: RISK % from CONFIG. Default 20%. Covers unknowns.</t>
        </is>
      </c>
    </row>
    <row r="20">
      <c r="A20" s="17" t="inlineStr">
        <is>
          <t>Risk Contingency Cost (USD)</t>
        </is>
      </c>
      <c r="B20" s="48">
        <f>B18*B19</f>
        <v/>
      </c>
      <c r="C20" s="48">
        <f>C18*C19</f>
        <v/>
      </c>
      <c r="D20" s="48">
        <f>D18*D19</f>
        <v/>
      </c>
      <c r="E20" s="48">
        <f>E18*E19</f>
        <v/>
      </c>
      <c r="F20" s="48">
        <f>F18*F19</f>
        <v/>
      </c>
      <c r="G20" s="48">
        <f>G18*G19</f>
        <v/>
      </c>
      <c r="H20" s="48">
        <f>H18*H19</f>
        <v/>
      </c>
      <c r="I20" s="48">
        <f>I18*I19</f>
        <v/>
      </c>
      <c r="J20" s="48">
        <f>J18*J19</f>
        <v/>
      </c>
      <c r="K20" s="48">
        <f>K18*K19</f>
        <v/>
      </c>
      <c r="L20" s="48">
        <f>L18*L19</f>
        <v/>
      </c>
      <c r="M20" s="48">
        <f>M18*M19</f>
        <v/>
      </c>
      <c r="N20" s="48">
        <f>N18*N19</f>
        <v/>
      </c>
      <c r="O20" s="48">
        <f>O18*O19</f>
        <v/>
      </c>
      <c r="P20" s="48">
        <f>P18*P19</f>
        <v/>
      </c>
      <c r="Q20" s="48">
        <f>Q18*Q19</f>
        <v/>
      </c>
      <c r="R20" s="48">
        <f>R18*R19</f>
        <v/>
      </c>
      <c r="S20" s="48">
        <f>S18*S19</f>
        <v/>
      </c>
      <c r="T20" s="48">
        <f>T18*T19</f>
        <v/>
      </c>
      <c r="U20" s="48">
        <f>U18*U19</f>
        <v/>
      </c>
      <c r="V20" s="48">
        <f>V18*V19</f>
        <v/>
      </c>
      <c r="W20" s="48">
        <f>W18*W19</f>
        <v/>
      </c>
      <c r="X20" s="48">
        <f>X18*X19</f>
        <v/>
      </c>
      <c r="Y20" s="48">
        <f>Y18*Y19</f>
        <v/>
      </c>
      <c r="Z20" s="21" t="n"/>
      <c r="AB20" s="5" t="inlineStr">
        <is>
          <t>Row 20: RISK COST = Subtotal x Risk %.</t>
        </is>
      </c>
    </row>
    <row r="21">
      <c r="A21" s="28" t="inlineStr">
        <is>
          <t>UNIT TOTALS</t>
        </is>
      </c>
      <c r="B21" s="51">
        <f>B18+B20</f>
        <v/>
      </c>
      <c r="C21" s="51">
        <f>C18+C20</f>
        <v/>
      </c>
      <c r="D21" s="51">
        <f>D18+D20</f>
        <v/>
      </c>
      <c r="E21" s="51">
        <f>E18+E20</f>
        <v/>
      </c>
      <c r="F21" s="51">
        <f>F18+F20</f>
        <v/>
      </c>
      <c r="G21" s="51">
        <f>G18+G20</f>
        <v/>
      </c>
      <c r="H21" s="51">
        <f>H18+H20</f>
        <v/>
      </c>
      <c r="I21" s="51">
        <f>I18+I20</f>
        <v/>
      </c>
      <c r="J21" s="51">
        <f>J18+J20</f>
        <v/>
      </c>
      <c r="K21" s="51">
        <f>K18+K20</f>
        <v/>
      </c>
      <c r="L21" s="51">
        <f>L18+L20</f>
        <v/>
      </c>
      <c r="M21" s="51">
        <f>M18+M20</f>
        <v/>
      </c>
      <c r="N21" s="51">
        <f>N18+N20</f>
        <v/>
      </c>
      <c r="O21" s="51">
        <f>O18+O20</f>
        <v/>
      </c>
      <c r="P21" s="51">
        <f>P18+P20</f>
        <v/>
      </c>
      <c r="Q21" s="51">
        <f>Q18+Q20</f>
        <v/>
      </c>
      <c r="R21" s="51">
        <f>R18+R20</f>
        <v/>
      </c>
      <c r="S21" s="51">
        <f>S18+S20</f>
        <v/>
      </c>
      <c r="T21" s="51">
        <f>T18+T20</f>
        <v/>
      </c>
      <c r="U21" s="51">
        <f>U18+U20</f>
        <v/>
      </c>
      <c r="V21" s="51">
        <f>V18+V20</f>
        <v/>
      </c>
      <c r="W21" s="51">
        <f>W18+W20</f>
        <v/>
      </c>
      <c r="X21" s="51">
        <f>X18+X20</f>
        <v/>
      </c>
      <c r="Y21" s="51">
        <f>Y18+Y20</f>
        <v/>
      </c>
      <c r="Z21" s="21" t="n"/>
      <c r="AB21" s="5" t="inlineStr">
        <is>
          <t>Row 21: UNIT TOTALS = Subtotal + Risk.</t>
        </is>
      </c>
    </row>
    <row r="23">
      <c r="A23" s="28" t="inlineStr">
        <is>
          <t>Grand Total (all units)</t>
        </is>
      </c>
      <c r="B23" s="21" t="n"/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52">
        <f>B21+C21+D21+E21+F21+G21+H21+I21+J21+K21+L21+M21+N21+O21+P21+Q21+R21+S21+T21+U21+V21+W21+X21+Y21</f>
        <v/>
      </c>
      <c r="AB23" s="5" t="inlineStr">
        <is>
          <t>Row 23: GRAND TOTAL (col Z) = Sum of all 24 unit total cells.</t>
        </is>
      </c>
    </row>
    <row r="24">
      <c r="A24" s="17" t="inlineStr">
        <is>
          <t>Central Governance &amp; Enablement</t>
        </is>
      </c>
      <c r="B24" s="21" t="n"/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  <c r="W24" s="21" t="n"/>
      <c r="X24" s="21" t="n"/>
      <c r="Y24" s="21" t="n"/>
      <c r="Z24" s="15">
        <f>Z23*CONFIG!B28</f>
        <v/>
      </c>
      <c r="AB24" s="5" t="inlineStr">
        <is>
          <t>Row 24: CG&amp;E = Grand Total x 10%. Covers PMO, governance, training.</t>
        </is>
      </c>
    </row>
    <row r="25">
      <c r="A25" s="17" t="inlineStr">
        <is>
          <t>Maturity Adjustment</t>
        </is>
      </c>
      <c r="B25" s="21" t="n"/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  <c r="W25" s="21" t="n"/>
      <c r="X25" s="21" t="n"/>
      <c r="Y25" s="21" t="n"/>
      <c r="Z25" s="15">
        <f>Z23*(CONFIG!B38-1)</f>
        <v/>
      </c>
      <c r="AB25" s="5" t="inlineStr">
        <is>
          <t>Row 25: MATURITY ADJUSTMENT = Grand Total x (Multiplier - 1).</t>
        </is>
      </c>
    </row>
    <row r="27">
      <c r="A27" s="53" t="inlineStr">
        <is>
          <t>TOTAL SPEND</t>
        </is>
      </c>
      <c r="B27" s="21" t="n"/>
      <c r="C27" s="21" t="n"/>
      <c r="D27" s="21" t="n"/>
      <c r="E27" s="21" t="n"/>
      <c r="F27" s="21" t="n"/>
      <c r="G27" s="21" t="n"/>
      <c r="H27" s="21" t="n"/>
      <c r="I27" s="21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  <c r="X27" s="21" t="n"/>
      <c r="Y27" s="21" t="n"/>
      <c r="Z27" s="54">
        <f>Z23+Z24+Z25</f>
        <v/>
      </c>
      <c r="AB27" s="5" t="inlineStr">
        <is>
          <t>Row 27: TOTAL SPEND = Grand Total + CG&amp;E + Maturity.</t>
        </is>
      </c>
    </row>
    <row r="29">
      <c r="AB29" s="24" t="inlineStr">
        <is>
          <t>END-TO-END WALKTHROUGH (FAU Example)</t>
        </is>
      </c>
    </row>
    <row r="30">
      <c r="AB30" s="25" t="inlineStr">
        <is>
          <t>STEP 1: Get unit count from INPUT</t>
        </is>
      </c>
    </row>
    <row r="31">
      <c r="AB31" s="26" t="inlineStr">
        <is>
          <t>INPUT!B22 = 22 (governed delivery units)</t>
        </is>
      </c>
    </row>
    <row r="32">
      <c r="AB32" s="26" t="inlineStr"/>
    </row>
    <row r="33">
      <c r="AB33" s="25" t="inlineStr">
        <is>
          <t>STEP 2: Apply size split</t>
        </is>
      </c>
    </row>
    <row r="34">
      <c r="AB34" s="26" t="inlineStr">
        <is>
          <t>Small 55%: 22 x 0.55 = 12.1 units</t>
        </is>
      </c>
    </row>
    <row r="35">
      <c r="AB35" s="26" t="inlineStr">
        <is>
          <t>Medium 30%: 22 x 0.30 = 6.6 units</t>
        </is>
      </c>
    </row>
    <row r="36">
      <c r="AB36" s="26" t="inlineStr">
        <is>
          <t>Large 15%: 22 x 0.15 = 3.3 units</t>
        </is>
      </c>
    </row>
    <row r="37">
      <c r="AB37" s="26" t="inlineStr"/>
    </row>
    <row r="38">
      <c r="AB38" s="25" t="inlineStr">
        <is>
          <t>STEP 3: Base effort (IBM-standard for FAU)</t>
        </is>
      </c>
    </row>
    <row r="39">
      <c r="AB39" s="26" t="inlineStr">
        <is>
          <t>Small: 2.0 FTE-months | Medium: 4.0 | Large: 6.0</t>
        </is>
      </c>
    </row>
    <row r="40">
      <c r="AB40" s="26" t="inlineStr"/>
    </row>
    <row r="41">
      <c r="AB41" s="25" t="inlineStr">
        <is>
          <t>STEP 4: Learning curve (FAU = no LC)</t>
        </is>
      </c>
    </row>
    <row r="42">
      <c r="AB42" s="26" t="inlineStr">
        <is>
          <t>Factor = 1.0 (learning curve only applies to AMU)</t>
        </is>
      </c>
    </row>
    <row r="43">
      <c r="AB43" s="26" t="inlineStr"/>
    </row>
    <row r="44">
      <c r="AB44" s="25" t="inlineStr">
        <is>
          <t>STEP 5: Effective effort = Base x LC</t>
        </is>
      </c>
    </row>
    <row r="45">
      <c r="AB45" s="26" t="inlineStr">
        <is>
          <t>Small: 2.0 x 1.0 = 2.0 | Medium: 4.0 | Large: 6.0</t>
        </is>
      </c>
    </row>
    <row r="46">
      <c r="AB46" s="26" t="inlineStr"/>
    </row>
    <row r="47">
      <c r="AB47" s="25" t="inlineStr">
        <is>
          <t>STEP 6: Total effort = Count x Effective Effort</t>
        </is>
      </c>
    </row>
    <row r="48">
      <c r="AB48" s="26" t="inlineStr">
        <is>
          <t>Small: 12.1 x 2.0 = 24.2 FTE-mo</t>
        </is>
      </c>
    </row>
    <row r="49">
      <c r="AB49" s="26" t="inlineStr">
        <is>
          <t>Medium: 6.6 x 4.0 = 26.4 FTE-mo</t>
        </is>
      </c>
    </row>
    <row r="50">
      <c r="AB50" s="26" t="inlineStr">
        <is>
          <t>Large: 3.3 x 6.0 = 19.8 FTE-mo</t>
        </is>
      </c>
    </row>
    <row r="51">
      <c r="AB51" s="26" t="inlineStr"/>
    </row>
    <row r="52">
      <c r="AB52" s="25" t="inlineStr">
        <is>
          <t>STEP 7: Get blended rate from CONFIG</t>
        </is>
      </c>
    </row>
    <row r="53">
      <c r="AB53" s="26" t="inlineStr">
        <is>
          <t>FAU = $14,845/mo (20%x$18,400 + 30%x$14,900 + 20%x$11,600 + 10%x$9,750 + 20%x$17,000)</t>
        </is>
      </c>
    </row>
    <row r="54">
      <c r="AB54" s="26" t="inlineStr"/>
    </row>
    <row r="55">
      <c r="AB55" s="25" t="inlineStr">
        <is>
          <t>STEP 8: Unit labour cost = Effective Effort x Rate</t>
        </is>
      </c>
    </row>
    <row r="56">
      <c r="AB56" s="26" t="inlineStr">
        <is>
          <t>Small: 2.0 x $14,845 = $29,690</t>
        </is>
      </c>
    </row>
    <row r="57">
      <c r="AB57" s="26" t="inlineStr">
        <is>
          <t>Medium: 4.0 x $14,845 = $59,380</t>
        </is>
      </c>
    </row>
    <row r="58">
      <c r="AB58" s="26" t="inlineStr">
        <is>
          <t>Large: 6.0 x $14,845 = $89,070</t>
        </is>
      </c>
    </row>
    <row r="59">
      <c r="AB59" s="26" t="inlineStr"/>
    </row>
    <row r="60">
      <c r="AB60" s="25" t="inlineStr">
        <is>
          <t>STEP 9: Labour cost = Count x Unit Labour Cost</t>
        </is>
      </c>
    </row>
    <row r="61">
      <c r="AB61" s="26" t="inlineStr">
        <is>
          <t>Small: 12.1 x $29,690 = $359,249</t>
        </is>
      </c>
    </row>
    <row r="62">
      <c r="AB62" s="26" t="inlineStr">
        <is>
          <t>Medium: 6.6 x $59,380 = $391,908</t>
        </is>
      </c>
    </row>
    <row r="63">
      <c r="AB63" s="26" t="inlineStr">
        <is>
          <t>Large: 3.3 x $89,070 = $293,931</t>
        </is>
      </c>
    </row>
    <row r="64">
      <c r="AB64" s="26" t="inlineStr">
        <is>
          <t>Total labour: $1,045,088</t>
        </is>
      </c>
    </row>
    <row r="65">
      <c r="AB65" s="26" t="inlineStr"/>
    </row>
    <row r="66">
      <c r="AB66" s="25" t="inlineStr">
        <is>
          <t>STEP 10: Tooling (FAU = 0%)</t>
        </is>
      </c>
    </row>
    <row r="67">
      <c r="AB67" s="26" t="inlineStr">
        <is>
          <t>All sizes: $0 (FAU is governance, no tooling)</t>
        </is>
      </c>
    </row>
    <row r="68">
      <c r="AB68" s="26" t="inlineStr"/>
    </row>
    <row r="69">
      <c r="AB69" s="25" t="inlineStr">
        <is>
          <t>STEP 11: Subtotal = Labour + Tooling</t>
        </is>
      </c>
    </row>
    <row r="70">
      <c r="AB70" s="26" t="inlineStr">
        <is>
          <t>Total: $1,045,088 + $0 = $1,045,088</t>
        </is>
      </c>
    </row>
    <row r="71">
      <c r="AB71" s="26" t="inlineStr"/>
    </row>
    <row r="72">
      <c r="AB72" s="25" t="inlineStr">
        <is>
          <t>STEP 12: Risk contingency = Subtotal x 20%</t>
        </is>
      </c>
    </row>
    <row r="73">
      <c r="AB73" s="26" t="inlineStr">
        <is>
          <t>$1,045,088 x 20% = $209,018</t>
        </is>
      </c>
    </row>
    <row r="74">
      <c r="AB74" s="26" t="inlineStr"/>
    </row>
    <row r="75">
      <c r="AB75" s="25" t="inlineStr">
        <is>
          <t>STEP 13: FAU TOTAL = Subtotal + Risk</t>
        </is>
      </c>
    </row>
    <row r="76">
      <c r="AB76" s="26" t="inlineStr">
        <is>
          <t>$1,045,088 + $209,018 = $1,254,106</t>
        </is>
      </c>
    </row>
    <row r="77">
      <c r="AB77" s="26" t="inlineStr"/>
    </row>
    <row r="78">
      <c r="AB78" s="25" t="inlineStr">
        <is>
          <t>STEP 14: Repeat for all 8 unit types, then:</t>
        </is>
      </c>
    </row>
    <row r="79">
      <c r="AB79" s="26" t="inlineStr">
        <is>
          <t>Grand Total = $183,689,377</t>
        </is>
      </c>
    </row>
    <row r="80">
      <c r="AB80" s="26" t="inlineStr">
        <is>
          <t>CG&amp;E = $183,689,377 x 10% = $18,368,938</t>
        </is>
      </c>
    </row>
    <row r="81">
      <c r="AB81" s="26" t="inlineStr">
        <is>
          <t>Maturity (1.0x, effect = 0) = $0</t>
        </is>
      </c>
    </row>
    <row r="82">
      <c r="AB82" s="26" t="inlineStr">
        <is>
          <t>TOTAL SPEND = $202,058,314</t>
        </is>
      </c>
    </row>
  </sheetData>
  <mergeCells count="33">
    <mergeCell ref="Q5:S5"/>
    <mergeCell ref="N2:P2"/>
    <mergeCell ref="W3:Y3"/>
    <mergeCell ref="Q4:S4"/>
    <mergeCell ref="N5:P5"/>
    <mergeCell ref="H2:J2"/>
    <mergeCell ref="T2:V2"/>
    <mergeCell ref="E2:G2"/>
    <mergeCell ref="K2:M2"/>
    <mergeCell ref="A1:Z1"/>
    <mergeCell ref="B2:D2"/>
    <mergeCell ref="H3:J3"/>
    <mergeCell ref="Q2:S2"/>
    <mergeCell ref="W2:Y2"/>
    <mergeCell ref="B5:D5"/>
    <mergeCell ref="K4:M4"/>
    <mergeCell ref="H5:J5"/>
    <mergeCell ref="B4:D4"/>
    <mergeCell ref="T3:V3"/>
    <mergeCell ref="W4:Y4"/>
    <mergeCell ref="E3:G3"/>
    <mergeCell ref="K3:M3"/>
    <mergeCell ref="N4:P4"/>
    <mergeCell ref="Q3:S3"/>
    <mergeCell ref="B3:D3"/>
    <mergeCell ref="T5:V5"/>
    <mergeCell ref="E5:G5"/>
    <mergeCell ref="K5:M5"/>
    <mergeCell ref="W5:Y5"/>
    <mergeCell ref="H4:J4"/>
    <mergeCell ref="T4:V4"/>
    <mergeCell ref="E4:G4"/>
    <mergeCell ref="N3:P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5" customWidth="1" min="10" max="10"/>
  </cols>
  <sheetData>
    <row r="1">
      <c r="A1" s="1" t="inlineStr">
        <is>
          <t>IBM Cybersecurity Services — Multi-Year Phasing</t>
        </is>
      </c>
      <c r="J1" s="2" t="inlineStr">
        <is>
          <t>HOW TO USE THIS SHEET</t>
        </is>
      </c>
    </row>
    <row r="2">
      <c r="J2" s="4" t="inlineStr">
        <is>
          <t>PURPOSE: Distributes total program cost across 7 years. Provides annual budgets and staffing estimates.</t>
        </is>
      </c>
    </row>
    <row r="3">
      <c r="A3" s="10" t="inlineStr">
        <is>
          <t>YEAR-BY-YEAR DISTRIBUTION (%)</t>
        </is>
      </c>
      <c r="B3" s="10" t="n"/>
      <c r="C3" s="10" t="n"/>
      <c r="D3" s="10" t="n"/>
      <c r="E3" s="10" t="n"/>
      <c r="F3" s="10" t="n"/>
      <c r="G3" s="10" t="n"/>
      <c r="H3" s="10" t="n"/>
      <c r="I3" s="10" t="n"/>
      <c r="J3" s="5" t="inlineStr">
        <is>
          <t>DATA FLOW:
  Receives: Unit totals from UNITS, CG&amp;E% from CONFIG, Maturity from CONFIG
  Produces: Annual cost forecasts and peak FTE for SUMMARY sheet</t>
        </is>
      </c>
    </row>
    <row r="4">
      <c r="A4" s="11" t="inlineStr">
        <is>
          <t>Unit Type</t>
        </is>
      </c>
      <c r="B4" s="11" t="inlineStr">
        <is>
          <t>Year 1</t>
        </is>
      </c>
      <c r="C4" s="11" t="inlineStr">
        <is>
          <t>Year 2</t>
        </is>
      </c>
      <c r="D4" s="11" t="inlineStr">
        <is>
          <t>Year 3</t>
        </is>
      </c>
      <c r="E4" s="11" t="inlineStr">
        <is>
          <t>Year 4</t>
        </is>
      </c>
      <c r="F4" s="11" t="inlineStr">
        <is>
          <t>Year 5</t>
        </is>
      </c>
      <c r="G4" s="11" t="inlineStr">
        <is>
          <t>Year 6</t>
        </is>
      </c>
      <c r="H4" s="11" t="inlineStr">
        <is>
          <t>Year 7</t>
        </is>
      </c>
      <c r="I4" s="11" t="inlineStr">
        <is>
          <t>Total</t>
        </is>
      </c>
      <c r="J4" s="4" t="inlineStr">
        <is>
          <t>SECTION: YEAR DISTRIBUTION %</t>
        </is>
      </c>
    </row>
    <row r="5">
      <c r="A5" s="12" t="inlineStr">
        <is>
          <t>FAU</t>
        </is>
      </c>
      <c r="B5" s="42" t="n">
        <v>0.2</v>
      </c>
      <c r="C5" s="42" t="n">
        <v>0.2</v>
      </c>
      <c r="D5" s="42" t="n">
        <v>0.2</v>
      </c>
      <c r="E5" s="42" t="n">
        <v>0.15</v>
      </c>
      <c r="F5" s="42" t="n">
        <v>0.1</v>
      </c>
      <c r="G5" s="42" t="n">
        <v>0.1</v>
      </c>
      <c r="H5" s="42" t="n">
        <v>0.05</v>
      </c>
      <c r="I5" s="32">
        <f>SUM(B5:H5)</f>
        <v/>
      </c>
      <c r="J5" s="5" t="inlineStr">
        <is>
          <t>Client-editable. For each unit type, enter % of work per year. Must sum to 100%.
Default patterns:
  FAU (governance): 20/20/20/15/10/10/5 (starts early, sustains)
  AMU (applications): 5/10/20/25/25/10/5 (ramps, peaks mid-program)
  VTU (vendors): 5/10/15/20/25/15/10 (back-loaded)</t>
        </is>
      </c>
    </row>
    <row r="6">
      <c r="A6" s="12" t="inlineStr">
        <is>
          <t>NMU</t>
        </is>
      </c>
      <c r="B6" s="42" t="n">
        <v>0.1</v>
      </c>
      <c r="C6" s="42" t="n">
        <v>0.2</v>
      </c>
      <c r="D6" s="42" t="n">
        <v>0.25</v>
      </c>
      <c r="E6" s="42" t="n">
        <v>0.2</v>
      </c>
      <c r="F6" s="42" t="n">
        <v>0.15</v>
      </c>
      <c r="G6" s="42" t="n">
        <v>0.05</v>
      </c>
      <c r="H6" s="42" t="n">
        <v>0.05</v>
      </c>
      <c r="I6" s="32">
        <f>SUM(B6:H6)</f>
        <v/>
      </c>
    </row>
    <row r="7">
      <c r="A7" s="12" t="inlineStr">
        <is>
          <t>AMU</t>
        </is>
      </c>
      <c r="B7" s="42" t="n">
        <v>0.05</v>
      </c>
      <c r="C7" s="42" t="n">
        <v>0.1</v>
      </c>
      <c r="D7" s="42" t="n">
        <v>0.2</v>
      </c>
      <c r="E7" s="42" t="n">
        <v>0.25</v>
      </c>
      <c r="F7" s="42" t="n">
        <v>0.25</v>
      </c>
      <c r="G7" s="42" t="n">
        <v>0.1</v>
      </c>
      <c r="H7" s="42" t="n">
        <v>0.05</v>
      </c>
      <c r="I7" s="32">
        <f>SUM(B7:H7)</f>
        <v/>
      </c>
    </row>
    <row r="8">
      <c r="A8" s="12" t="inlineStr">
        <is>
          <t>PMU</t>
        </is>
      </c>
      <c r="B8" s="42" t="n">
        <v>0.1</v>
      </c>
      <c r="C8" s="42" t="n">
        <v>0.15</v>
      </c>
      <c r="D8" s="42" t="n">
        <v>0.25</v>
      </c>
      <c r="E8" s="42" t="n">
        <v>0.2</v>
      </c>
      <c r="F8" s="42" t="n">
        <v>0.15</v>
      </c>
      <c r="G8" s="42" t="n">
        <v>0.1</v>
      </c>
      <c r="H8" s="42" t="n">
        <v>0.05</v>
      </c>
      <c r="I8" s="32">
        <f>SUM(B8:H8)</f>
        <v/>
      </c>
    </row>
    <row r="9">
      <c r="A9" s="12" t="inlineStr">
        <is>
          <t>CMU</t>
        </is>
      </c>
      <c r="B9" s="42" t="n">
        <v>0.15</v>
      </c>
      <c r="C9" s="42" t="n">
        <v>0.2</v>
      </c>
      <c r="D9" s="42" t="n">
        <v>0.25</v>
      </c>
      <c r="E9" s="42" t="n">
        <v>0.2</v>
      </c>
      <c r="F9" s="42" t="n">
        <v>0.1</v>
      </c>
      <c r="G9" s="42" t="n">
        <v>0.05</v>
      </c>
      <c r="H9" s="42" t="n">
        <v>0.05</v>
      </c>
      <c r="I9" s="32">
        <f>SUM(B9:H9)</f>
        <v/>
      </c>
    </row>
    <row r="10">
      <c r="A10" s="12" t="inlineStr">
        <is>
          <t>DMU</t>
        </is>
      </c>
      <c r="B10" s="42" t="n">
        <v>0.05</v>
      </c>
      <c r="C10" s="42" t="n">
        <v>0.1</v>
      </c>
      <c r="D10" s="42" t="n">
        <v>0.15</v>
      </c>
      <c r="E10" s="42" t="n">
        <v>0.25</v>
      </c>
      <c r="F10" s="42" t="n">
        <v>0.25</v>
      </c>
      <c r="G10" s="42" t="n">
        <v>0.15</v>
      </c>
      <c r="H10" s="42" t="n">
        <v>0.05</v>
      </c>
      <c r="I10" s="32">
        <f>SUM(B10:H10)</f>
        <v/>
      </c>
    </row>
    <row r="11">
      <c r="A11" s="12" t="inlineStr">
        <is>
          <t>DAU</t>
        </is>
      </c>
      <c r="B11" s="42" t="n">
        <v>0.1</v>
      </c>
      <c r="C11" s="42" t="n">
        <v>0.2</v>
      </c>
      <c r="D11" s="42" t="n">
        <v>0.25</v>
      </c>
      <c r="E11" s="42" t="n">
        <v>0.2</v>
      </c>
      <c r="F11" s="42" t="n">
        <v>0.15</v>
      </c>
      <c r="G11" s="42" t="n">
        <v>0.05</v>
      </c>
      <c r="H11" s="42" t="n">
        <v>0.05</v>
      </c>
      <c r="I11" s="32">
        <f>SUM(B11:H11)</f>
        <v/>
      </c>
    </row>
    <row r="12">
      <c r="A12" s="12" t="inlineStr">
        <is>
          <t>VTU</t>
        </is>
      </c>
      <c r="B12" s="42" t="n">
        <v>0.05</v>
      </c>
      <c r="C12" s="42" t="n">
        <v>0.1</v>
      </c>
      <c r="D12" s="42" t="n">
        <v>0.15</v>
      </c>
      <c r="E12" s="42" t="n">
        <v>0.2</v>
      </c>
      <c r="F12" s="42" t="n">
        <v>0.25</v>
      </c>
      <c r="G12" s="42" t="n">
        <v>0.15</v>
      </c>
      <c r="H12" s="42" t="n">
        <v>0.1</v>
      </c>
      <c r="I12" s="32">
        <f>SUM(B12:H12)</f>
        <v/>
      </c>
    </row>
    <row r="14">
      <c r="A14" s="10" t="inlineStr">
        <is>
          <t>ANNUAL COST BY UNIT TYPE (USD)</t>
        </is>
      </c>
      <c r="B14" s="10" t="n"/>
      <c r="C14" s="10" t="n"/>
      <c r="D14" s="10" t="n"/>
      <c r="E14" s="10" t="n"/>
      <c r="F14" s="10" t="n"/>
      <c r="G14" s="10" t="n"/>
      <c r="H14" s="10" t="n"/>
      <c r="I14" s="10" t="n"/>
      <c r="J14" s="4" t="inlineStr">
        <is>
          <t>SECTION: ANNUAL COST</t>
        </is>
      </c>
    </row>
    <row r="15">
      <c r="A15" s="11" t="inlineStr">
        <is>
          <t>Unit Type</t>
        </is>
      </c>
      <c r="B15" s="11" t="inlineStr">
        <is>
          <t>Year 1</t>
        </is>
      </c>
      <c r="C15" s="11" t="inlineStr">
        <is>
          <t>Year 2</t>
        </is>
      </c>
      <c r="D15" s="11" t="inlineStr">
        <is>
          <t>Year 3</t>
        </is>
      </c>
      <c r="E15" s="11" t="inlineStr">
        <is>
          <t>Year 4</t>
        </is>
      </c>
      <c r="F15" s="11" t="inlineStr">
        <is>
          <t>Year 5</t>
        </is>
      </c>
      <c r="G15" s="11" t="inlineStr">
        <is>
          <t>Year 6</t>
        </is>
      </c>
      <c r="H15" s="11" t="inlineStr">
        <is>
          <t>Year 7</t>
        </is>
      </c>
      <c r="I15" s="11" t="inlineStr">
        <is>
          <t>Total</t>
        </is>
      </c>
      <c r="J15" s="5" t="inlineStr">
        <is>
          <t>Annual Cost = Unit Total x Year %.
Example: AMU Year 3 = $170.9M x 20% = $34.2M</t>
        </is>
      </c>
    </row>
    <row r="16">
      <c r="A16" s="12" t="inlineStr">
        <is>
          <t>FAU</t>
        </is>
      </c>
      <c r="B16" s="15">
        <f>(UNITS!B21+UNITS!C21+UNITS!D21)*B5</f>
        <v/>
      </c>
      <c r="C16" s="15">
        <f>(UNITS!B21+UNITS!C21+UNITS!D21)*C5</f>
        <v/>
      </c>
      <c r="D16" s="15">
        <f>(UNITS!B21+UNITS!C21+UNITS!D21)*D5</f>
        <v/>
      </c>
      <c r="E16" s="15">
        <f>(UNITS!B21+UNITS!C21+UNITS!D21)*E5</f>
        <v/>
      </c>
      <c r="F16" s="15">
        <f>(UNITS!B21+UNITS!C21+UNITS!D21)*F5</f>
        <v/>
      </c>
      <c r="G16" s="15">
        <f>(UNITS!B21+UNITS!C21+UNITS!D21)*G5</f>
        <v/>
      </c>
      <c r="H16" s="15">
        <f>(UNITS!B21+UNITS!C21+UNITS!D21)*H5</f>
        <v/>
      </c>
      <c r="I16" s="15">
        <f>SUM(B16:H16)</f>
        <v/>
      </c>
    </row>
    <row r="17">
      <c r="A17" s="12" t="inlineStr">
        <is>
          <t>NMU</t>
        </is>
      </c>
      <c r="B17" s="15">
        <f>(UNITS!E21+UNITS!F21+UNITS!G21)*B6</f>
        <v/>
      </c>
      <c r="C17" s="15">
        <f>(UNITS!E21+UNITS!F21+UNITS!G21)*C6</f>
        <v/>
      </c>
      <c r="D17" s="15">
        <f>(UNITS!E21+UNITS!F21+UNITS!G21)*D6</f>
        <v/>
      </c>
      <c r="E17" s="15">
        <f>(UNITS!E21+UNITS!F21+UNITS!G21)*E6</f>
        <v/>
      </c>
      <c r="F17" s="15">
        <f>(UNITS!E21+UNITS!F21+UNITS!G21)*F6</f>
        <v/>
      </c>
      <c r="G17" s="15">
        <f>(UNITS!E21+UNITS!F21+UNITS!G21)*G6</f>
        <v/>
      </c>
      <c r="H17" s="15">
        <f>(UNITS!E21+UNITS!F21+UNITS!G21)*H6</f>
        <v/>
      </c>
      <c r="I17" s="15">
        <f>SUM(B17:H17)</f>
        <v/>
      </c>
    </row>
    <row r="18">
      <c r="A18" s="12" t="inlineStr">
        <is>
          <t>AMU</t>
        </is>
      </c>
      <c r="B18" s="15">
        <f>(UNITS!H21+UNITS!I21+UNITS!J21)*B7</f>
        <v/>
      </c>
      <c r="C18" s="15">
        <f>(UNITS!H21+UNITS!I21+UNITS!J21)*C7</f>
        <v/>
      </c>
      <c r="D18" s="15">
        <f>(UNITS!H21+UNITS!I21+UNITS!J21)*D7</f>
        <v/>
      </c>
      <c r="E18" s="15">
        <f>(UNITS!H21+UNITS!I21+UNITS!J21)*E7</f>
        <v/>
      </c>
      <c r="F18" s="15">
        <f>(UNITS!H21+UNITS!I21+UNITS!J21)*F7</f>
        <v/>
      </c>
      <c r="G18" s="15">
        <f>(UNITS!H21+UNITS!I21+UNITS!J21)*G7</f>
        <v/>
      </c>
      <c r="H18" s="15">
        <f>(UNITS!H21+UNITS!I21+UNITS!J21)*H7</f>
        <v/>
      </c>
      <c r="I18" s="15">
        <f>SUM(B18:H18)</f>
        <v/>
      </c>
    </row>
    <row r="19">
      <c r="A19" s="12" t="inlineStr">
        <is>
          <t>PMU</t>
        </is>
      </c>
      <c r="B19" s="15">
        <f>(UNITS!K21+UNITS!L21+UNITS!M21)*B8</f>
        <v/>
      </c>
      <c r="C19" s="15">
        <f>(UNITS!K21+UNITS!L21+UNITS!M21)*C8</f>
        <v/>
      </c>
      <c r="D19" s="15">
        <f>(UNITS!K21+UNITS!L21+UNITS!M21)*D8</f>
        <v/>
      </c>
      <c r="E19" s="15">
        <f>(UNITS!K21+UNITS!L21+UNITS!M21)*E8</f>
        <v/>
      </c>
      <c r="F19" s="15">
        <f>(UNITS!K21+UNITS!L21+UNITS!M21)*F8</f>
        <v/>
      </c>
      <c r="G19" s="15">
        <f>(UNITS!K21+UNITS!L21+UNITS!M21)*G8</f>
        <v/>
      </c>
      <c r="H19" s="15">
        <f>(UNITS!K21+UNITS!L21+UNITS!M21)*H8</f>
        <v/>
      </c>
      <c r="I19" s="15">
        <f>SUM(B19:H19)</f>
        <v/>
      </c>
    </row>
    <row r="20">
      <c r="A20" s="12" t="inlineStr">
        <is>
          <t>CMU</t>
        </is>
      </c>
      <c r="B20" s="15">
        <f>(UNITS!N21+UNITS!O21+UNITS!P21)*B9</f>
        <v/>
      </c>
      <c r="C20" s="15">
        <f>(UNITS!N21+UNITS!O21+UNITS!P21)*C9</f>
        <v/>
      </c>
      <c r="D20" s="15">
        <f>(UNITS!N21+UNITS!O21+UNITS!P21)*D9</f>
        <v/>
      </c>
      <c r="E20" s="15">
        <f>(UNITS!N21+UNITS!O21+UNITS!P21)*E9</f>
        <v/>
      </c>
      <c r="F20" s="15">
        <f>(UNITS!N21+UNITS!O21+UNITS!P21)*F9</f>
        <v/>
      </c>
      <c r="G20" s="15">
        <f>(UNITS!N21+UNITS!O21+UNITS!P21)*G9</f>
        <v/>
      </c>
      <c r="H20" s="15">
        <f>(UNITS!N21+UNITS!O21+UNITS!P21)*H9</f>
        <v/>
      </c>
      <c r="I20" s="15">
        <f>SUM(B20:H20)</f>
        <v/>
      </c>
    </row>
    <row r="21">
      <c r="A21" s="12" t="inlineStr">
        <is>
          <t>DMU</t>
        </is>
      </c>
      <c r="B21" s="15">
        <f>(UNITS!Q21+UNITS!R21+UNITS!S21)*B10</f>
        <v/>
      </c>
      <c r="C21" s="15">
        <f>(UNITS!Q21+UNITS!R21+UNITS!S21)*C10</f>
        <v/>
      </c>
      <c r="D21" s="15">
        <f>(UNITS!Q21+UNITS!R21+UNITS!S21)*D10</f>
        <v/>
      </c>
      <c r="E21" s="15">
        <f>(UNITS!Q21+UNITS!R21+UNITS!S21)*E10</f>
        <v/>
      </c>
      <c r="F21" s="15">
        <f>(UNITS!Q21+UNITS!R21+UNITS!S21)*F10</f>
        <v/>
      </c>
      <c r="G21" s="15">
        <f>(UNITS!Q21+UNITS!R21+UNITS!S21)*G10</f>
        <v/>
      </c>
      <c r="H21" s="15">
        <f>(UNITS!Q21+UNITS!R21+UNITS!S21)*H10</f>
        <v/>
      </c>
      <c r="I21" s="15">
        <f>SUM(B21:H21)</f>
        <v/>
      </c>
    </row>
    <row r="22">
      <c r="A22" s="12" t="inlineStr">
        <is>
          <t>DAU</t>
        </is>
      </c>
      <c r="B22" s="15">
        <f>(UNITS!T21+UNITS!U21+UNITS!V21)*B11</f>
        <v/>
      </c>
      <c r="C22" s="15">
        <f>(UNITS!T21+UNITS!U21+UNITS!V21)*C11</f>
        <v/>
      </c>
      <c r="D22" s="15">
        <f>(UNITS!T21+UNITS!U21+UNITS!V21)*D11</f>
        <v/>
      </c>
      <c r="E22" s="15">
        <f>(UNITS!T21+UNITS!U21+UNITS!V21)*E11</f>
        <v/>
      </c>
      <c r="F22" s="15">
        <f>(UNITS!T21+UNITS!U21+UNITS!V21)*F11</f>
        <v/>
      </c>
      <c r="G22" s="15">
        <f>(UNITS!T21+UNITS!U21+UNITS!V21)*G11</f>
        <v/>
      </c>
      <c r="H22" s="15">
        <f>(UNITS!T21+UNITS!U21+UNITS!V21)*H11</f>
        <v/>
      </c>
      <c r="I22" s="15">
        <f>SUM(B22:H22)</f>
        <v/>
      </c>
    </row>
    <row r="23">
      <c r="A23" s="12" t="inlineStr">
        <is>
          <t>VTU</t>
        </is>
      </c>
      <c r="B23" s="15">
        <f>(UNITS!W21+UNITS!X21+UNITS!Y21)*B12</f>
        <v/>
      </c>
      <c r="C23" s="15">
        <f>(UNITS!W21+UNITS!X21+UNITS!Y21)*C12</f>
        <v/>
      </c>
      <c r="D23" s="15">
        <f>(UNITS!W21+UNITS!X21+UNITS!Y21)*D12</f>
        <v/>
      </c>
      <c r="E23" s="15">
        <f>(UNITS!W21+UNITS!X21+UNITS!Y21)*E12</f>
        <v/>
      </c>
      <c r="F23" s="15">
        <f>(UNITS!W21+UNITS!X21+UNITS!Y21)*F12</f>
        <v/>
      </c>
      <c r="G23" s="15">
        <f>(UNITS!W21+UNITS!X21+UNITS!Y21)*G12</f>
        <v/>
      </c>
      <c r="H23" s="15">
        <f>(UNITS!W21+UNITS!X21+UNITS!Y21)*H12</f>
        <v/>
      </c>
      <c r="I23" s="15">
        <f>SUM(B23:H23)</f>
        <v/>
      </c>
    </row>
    <row r="24">
      <c r="A24" s="17" t="inlineStr">
        <is>
          <t>Annual Subtotal (Units)</t>
        </is>
      </c>
      <c r="B24" s="15">
        <f>SUM(B16:B23)</f>
        <v/>
      </c>
      <c r="C24" s="15">
        <f>SUM(C16:C23)</f>
        <v/>
      </c>
      <c r="D24" s="15">
        <f>SUM(D16:D23)</f>
        <v/>
      </c>
      <c r="E24" s="15">
        <f>SUM(E16:E23)</f>
        <v/>
      </c>
      <c r="F24" s="15">
        <f>SUM(F16:F23)</f>
        <v/>
      </c>
      <c r="G24" s="15">
        <f>SUM(G16:G23)</f>
        <v/>
      </c>
      <c r="H24" s="15">
        <f>SUM(H16:H23)</f>
        <v/>
      </c>
      <c r="I24" s="52">
        <f>SUM(B24:H24)</f>
        <v/>
      </c>
      <c r="J24" s="5" t="inlineStr">
        <is>
          <t>Annual Subtotal: Sum of all 8 unit types for that year.</t>
        </is>
      </c>
    </row>
    <row r="25">
      <c r="A25" s="17" t="inlineStr">
        <is>
          <t>CG&amp;E</t>
        </is>
      </c>
      <c r="B25" s="15">
        <f>B24*CONFIG!B28</f>
        <v/>
      </c>
      <c r="C25" s="15">
        <f>C24*CONFIG!B28</f>
        <v/>
      </c>
      <c r="D25" s="15">
        <f>D24*CONFIG!B28</f>
        <v/>
      </c>
      <c r="E25" s="15">
        <f>E24*CONFIG!B28</f>
        <v/>
      </c>
      <c r="F25" s="15">
        <f>F24*CONFIG!B28</f>
        <v/>
      </c>
      <c r="G25" s="15">
        <f>G24*CONFIG!B28</f>
        <v/>
      </c>
      <c r="H25" s="15">
        <f>H24*CONFIG!B28</f>
        <v/>
      </c>
      <c r="I25" s="15">
        <f>SUM(B25:H25)</f>
        <v/>
      </c>
      <c r="J25" s="5" t="inlineStr">
        <is>
          <t>CG&amp;E: Annual subtotal x CG&amp;E % from CONFIG.</t>
        </is>
      </c>
    </row>
    <row r="26">
      <c r="A26" s="17" t="inlineStr">
        <is>
          <t>Maturity Adjustment</t>
        </is>
      </c>
      <c r="B26" s="15">
        <f>B24*(CONFIG!B38-1)</f>
        <v/>
      </c>
      <c r="C26" s="15">
        <f>C24*(CONFIG!B38-1)</f>
        <v/>
      </c>
      <c r="D26" s="15">
        <f>D24*(CONFIG!B38-1)</f>
        <v/>
      </c>
      <c r="E26" s="15">
        <f>E24*(CONFIG!B38-1)</f>
        <v/>
      </c>
      <c r="F26" s="15">
        <f>F24*(CONFIG!B38-1)</f>
        <v/>
      </c>
      <c r="G26" s="15">
        <f>G24*(CONFIG!B38-1)</f>
        <v/>
      </c>
      <c r="H26" s="15">
        <f>H24*(CONFIG!B38-1)</f>
        <v/>
      </c>
      <c r="I26" s="15">
        <f>SUM(B26:H26)</f>
        <v/>
      </c>
      <c r="J26" s="5" t="inlineStr">
        <is>
          <t>Maturity: Annual subtotal x (Multiplier - 1).</t>
        </is>
      </c>
    </row>
    <row r="27">
      <c r="A27" s="28" t="inlineStr">
        <is>
          <t>ANNUAL TOTAL</t>
        </is>
      </c>
      <c r="B27" s="55">
        <f>B24+B25+B26</f>
        <v/>
      </c>
      <c r="C27" s="55">
        <f>C24+C25+C26</f>
        <v/>
      </c>
      <c r="D27" s="55">
        <f>D24+D25+D26</f>
        <v/>
      </c>
      <c r="E27" s="55">
        <f>E24+E25+E26</f>
        <v/>
      </c>
      <c r="F27" s="55">
        <f>F24+F25+F26</f>
        <v/>
      </c>
      <c r="G27" s="55">
        <f>G24+G25+G26</f>
        <v/>
      </c>
      <c r="H27" s="55">
        <f>H24+H25+H26</f>
        <v/>
      </c>
      <c r="I27" s="56">
        <f>SUM(B27:H27)</f>
        <v/>
      </c>
      <c r="J27" s="5" t="inlineStr">
        <is>
          <t>ANNUAL TOTAL: Budget required for that year.</t>
        </is>
      </c>
    </row>
    <row r="29">
      <c r="A29" s="10" t="inlineStr">
        <is>
          <t>STAFFING ESTIMATE</t>
        </is>
      </c>
      <c r="B29" s="10" t="n"/>
      <c r="C29" s="10" t="n"/>
      <c r="D29" s="10" t="n"/>
      <c r="E29" s="10" t="n"/>
      <c r="F29" s="10" t="n"/>
      <c r="G29" s="10" t="n"/>
      <c r="H29" s="10" t="n"/>
      <c r="I29" s="10" t="n"/>
      <c r="J29" s="4" t="inlineStr">
        <is>
          <t>SECTION: STAFFING</t>
        </is>
      </c>
    </row>
    <row r="30">
      <c r="A30" s="11" t="inlineStr">
        <is>
          <t>Unit Type</t>
        </is>
      </c>
      <c r="B30" s="11" t="inlineStr">
        <is>
          <t>Year 1</t>
        </is>
      </c>
      <c r="C30" s="11" t="inlineStr">
        <is>
          <t>Year 2</t>
        </is>
      </c>
      <c r="D30" s="11" t="inlineStr">
        <is>
          <t>Year 3</t>
        </is>
      </c>
      <c r="E30" s="11" t="inlineStr">
        <is>
          <t>Year 4</t>
        </is>
      </c>
      <c r="F30" s="11" t="inlineStr">
        <is>
          <t>Year 5</t>
        </is>
      </c>
      <c r="G30" s="11" t="inlineStr">
        <is>
          <t>Year 6</t>
        </is>
      </c>
      <c r="H30" s="11" t="inlineStr">
        <is>
          <t>Year 7</t>
        </is>
      </c>
      <c r="I30" s="11" t="inlineStr">
        <is>
          <t>Total</t>
        </is>
      </c>
      <c r="J30" s="5" t="inlineStr">
        <is>
          <t>Peak FTE = Annual FTE-months / 12.
This is an average, not peak. Multiply by 1.25 for safe staffing.</t>
        </is>
      </c>
    </row>
    <row r="31">
      <c r="A31" s="17" t="inlineStr">
        <is>
          <t>Annual Effort (FTE-months)</t>
        </is>
      </c>
      <c r="B31" s="57">
        <f>(UNITS!B12+UNITS!C12+UNITS!D12)*B5+(UNITS!E12+UNITS!F12+UNITS!G12)*B6+(UNITS!H12+UNITS!I12+UNITS!J12)*B7+(UNITS!K12+UNITS!L12+UNITS!M12)*B8+(UNITS!N12+UNITS!O12+UNITS!P12)*B9+(UNITS!Q12+UNITS!R12+UNITS!S12)*B10+(UNITS!T12+UNITS!U12+UNITS!V12)*B11+(UNITS!W12+UNITS!X12+UNITS!Y12)*B12</f>
        <v/>
      </c>
      <c r="C31" s="57">
        <f>(UNITS!B12+UNITS!C12+UNITS!D12)*C5+(UNITS!E12+UNITS!F12+UNITS!G12)*C6+(UNITS!H12+UNITS!I12+UNITS!J12)*C7+(UNITS!K12+UNITS!L12+UNITS!M12)*C8+(UNITS!N12+UNITS!O12+UNITS!P12)*C9+(UNITS!Q12+UNITS!R12+UNITS!S12)*C10+(UNITS!T12+UNITS!U12+UNITS!V12)*C11+(UNITS!W12+UNITS!X12+UNITS!Y12)*C12</f>
        <v/>
      </c>
      <c r="D31" s="57">
        <f>(UNITS!B12+UNITS!C12+UNITS!D12)*D5+(UNITS!E12+UNITS!F12+UNITS!G12)*D6+(UNITS!H12+UNITS!I12+UNITS!J12)*D7+(UNITS!K12+UNITS!L12+UNITS!M12)*D8+(UNITS!N12+UNITS!O12+UNITS!P12)*D9+(UNITS!Q12+UNITS!R12+UNITS!S12)*D10+(UNITS!T12+UNITS!U12+UNITS!V12)*D11+(UNITS!W12+UNITS!X12+UNITS!Y12)*D12</f>
        <v/>
      </c>
      <c r="E31" s="57">
        <f>(UNITS!B12+UNITS!C12+UNITS!D12)*E5+(UNITS!E12+UNITS!F12+UNITS!G12)*E6+(UNITS!H12+UNITS!I12+UNITS!J12)*E7+(UNITS!K12+UNITS!L12+UNITS!M12)*E8+(UNITS!N12+UNITS!O12+UNITS!P12)*E9+(UNITS!Q12+UNITS!R12+UNITS!S12)*E10+(UNITS!T12+UNITS!U12+UNITS!V12)*E11+(UNITS!W12+UNITS!X12+UNITS!Y12)*E12</f>
        <v/>
      </c>
      <c r="F31" s="57">
        <f>(UNITS!B12+UNITS!C12+UNITS!D12)*F5+(UNITS!E12+UNITS!F12+UNITS!G12)*F6+(UNITS!H12+UNITS!I12+UNITS!J12)*F7+(UNITS!K12+UNITS!L12+UNITS!M12)*F8+(UNITS!N12+UNITS!O12+UNITS!P12)*F9+(UNITS!Q12+UNITS!R12+UNITS!S12)*F10+(UNITS!T12+UNITS!U12+UNITS!V12)*F11+(UNITS!W12+UNITS!X12+UNITS!Y12)*F12</f>
        <v/>
      </c>
      <c r="G31" s="57">
        <f>(UNITS!B12+UNITS!C12+UNITS!D12)*G5+(UNITS!E12+UNITS!F12+UNITS!G12)*G6+(UNITS!H12+UNITS!I12+UNITS!J12)*G7+(UNITS!K12+UNITS!L12+UNITS!M12)*G8+(UNITS!N12+UNITS!O12+UNITS!P12)*G9+(UNITS!Q12+UNITS!R12+UNITS!S12)*G10+(UNITS!T12+UNITS!U12+UNITS!V12)*G11+(UNITS!W12+UNITS!X12+UNITS!Y12)*G12</f>
        <v/>
      </c>
      <c r="H31" s="57">
        <f>(UNITS!B12+UNITS!C12+UNITS!D12)*H5+(UNITS!E12+UNITS!F12+UNITS!G12)*H6+(UNITS!H12+UNITS!I12+UNITS!J12)*H7+(UNITS!K12+UNITS!L12+UNITS!M12)*H8+(UNITS!N12+UNITS!O12+UNITS!P12)*H9+(UNITS!Q12+UNITS!R12+UNITS!S12)*H10+(UNITS!T12+UNITS!U12+UNITS!V12)*H11+(UNITS!W12+UNITS!X12+UNITS!Y12)*H12</f>
        <v/>
      </c>
      <c r="I31" s="57">
        <f>SUM(B31:H31)</f>
        <v/>
      </c>
    </row>
    <row r="32">
      <c r="A32" s="17" t="inlineStr">
        <is>
          <t>Peak FTE (headcount estimate)</t>
        </is>
      </c>
      <c r="B32" s="57">
        <f>B31/12</f>
        <v/>
      </c>
      <c r="C32" s="57">
        <f>C31/12</f>
        <v/>
      </c>
      <c r="D32" s="57">
        <f>D31/12</f>
        <v/>
      </c>
      <c r="E32" s="57">
        <f>E31/12</f>
        <v/>
      </c>
      <c r="F32" s="57">
        <f>F31/12</f>
        <v/>
      </c>
      <c r="G32" s="57">
        <f>G31/12</f>
        <v/>
      </c>
      <c r="H32" s="57">
        <f>H31/12</f>
        <v/>
      </c>
      <c r="I32" s="58">
        <f>"N/A"</f>
        <v/>
      </c>
    </row>
    <row r="34">
      <c r="A34" s="59" t="inlineStr">
        <is>
          <t>Reconciliation Check</t>
        </is>
      </c>
      <c r="B34" s="60">
        <f>IF(ABS(I27-UNITS!Z27)&lt;1,"OK","MISMATCH")</f>
        <v/>
      </c>
      <c r="J34" s="5" t="inlineStr">
        <is>
          <t>Reconciliation: Checks sum of annual totals = UNITS TOTAL SPEND. Must show 'OK'.</t>
        </is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  <col width="24" customWidth="1" min="3" max="3"/>
    <col width="24" customWidth="1" min="4" max="4"/>
    <col width="65" customWidth="1" min="5" max="5"/>
  </cols>
  <sheetData>
    <row r="1">
      <c r="A1" s="1" t="inlineStr">
        <is>
          <t>IBM Cybersecurity Services — Executive Summary</t>
        </is>
      </c>
      <c r="E1" s="2" t="inlineStr">
        <is>
          <t>HOW TO READ THIS DASHBOARD</t>
        </is>
      </c>
    </row>
    <row r="2">
      <c r="E2" s="4" t="inlineStr">
        <is>
          <t>PURPOSE: Executive-ready summary. All values auto-calculated. Present to leadership for budget approval.</t>
        </is>
      </c>
    </row>
    <row r="3">
      <c r="A3" s="61" t="inlineStr">
        <is>
          <t>TOTAL PROGRAM COST</t>
        </is>
      </c>
      <c r="B3" s="62">
        <f>UNITS!Z27</f>
        <v/>
      </c>
      <c r="E3" s="4" t="inlineStr">
        <is>
          <t>TOTAL PROGRAM COST: The fully-loaded cost including all units, CG&amp;E, maturity, risk, and learning curve.</t>
        </is>
      </c>
    </row>
    <row r="5">
      <c r="A5" s="10" t="inlineStr">
        <is>
          <t>COST BREAKDOWN BY UNIT TYPE</t>
        </is>
      </c>
      <c r="B5" s="10" t="n"/>
      <c r="C5" s="10" t="n"/>
      <c r="E5" s="4" t="inlineStr">
        <is>
          <t>COST BREAKDOWN BY UNIT TYPE</t>
        </is>
      </c>
    </row>
    <row r="6">
      <c r="A6" s="11" t="inlineStr">
        <is>
          <t>Unit Type</t>
        </is>
      </c>
      <c r="B6" s="11" t="inlineStr">
        <is>
          <t>Cost (USD)</t>
        </is>
      </c>
      <c r="C6" s="11" t="inlineStr">
        <is>
          <t>% of Subtotal</t>
        </is>
      </c>
      <c r="E6" s="5" t="inlineStr">
        <is>
          <t>Each unit type's total cost and % of subtotal. AMU (Application Migration) typically dominates at 80-90%.</t>
        </is>
      </c>
    </row>
    <row r="7">
      <c r="A7" s="12" t="inlineStr">
        <is>
          <t>Federated Adoption Unit (FAU)</t>
        </is>
      </c>
      <c r="B7" s="15">
        <f>UNITS!B21+UNITS!C21+UNITS!D21</f>
        <v/>
      </c>
      <c r="C7" s="63">
        <f>B7/UNITS!Z23</f>
        <v/>
      </c>
      <c r="E7" s="5" t="inlineStr">
        <is>
          <t>FAU: Governance coordination. Typically &lt;1% of total.</t>
        </is>
      </c>
    </row>
    <row r="8">
      <c r="A8" s="12" t="inlineStr">
        <is>
          <t>Network / Connectivity Migration Unit (NMU)</t>
        </is>
      </c>
      <c r="B8" s="15">
        <f>UNITS!E21+UNITS!F21+UNITS!G21</f>
        <v/>
      </c>
      <c r="C8" s="63">
        <f>B8/UNITS!Z23</f>
        <v/>
      </c>
      <c r="E8" s="5" t="inlineStr">
        <is>
          <t>NMU: Network/TLS migration. Small unless many legacy zones.</t>
        </is>
      </c>
    </row>
    <row r="9">
      <c r="A9" s="12" t="inlineStr">
        <is>
          <t>Application Migration Unit (AMU)</t>
        </is>
      </c>
      <c r="B9" s="15">
        <f>UNITS!H21+UNITS!I21+UNITS!J21</f>
        <v/>
      </c>
      <c r="C9" s="63">
        <f>B9/UNITS!Z23</f>
        <v/>
      </c>
      <c r="E9" s="5" t="inlineStr">
        <is>
          <t>AMU: THE BIGGEST COST DRIVER. Application-level crypto for all apps.</t>
        </is>
      </c>
    </row>
    <row r="10">
      <c r="A10" s="12" t="inlineStr">
        <is>
          <t>Platform/Cloud/Runtime Migration Unit (PMU)</t>
        </is>
      </c>
      <c r="B10" s="15">
        <f>UNITS!K21+UNITS!L21+UNITS!M21</f>
        <v/>
      </c>
      <c r="C10" s="63">
        <f>B10/UNITS!Z23</f>
        <v/>
      </c>
      <c r="E10" s="5" t="inlineStr">
        <is>
          <t>PMU: Platform-level changes. Moderate cost.</t>
        </is>
      </c>
    </row>
    <row r="11">
      <c r="A11" s="12" t="inlineStr">
        <is>
          <t>PKI/CLM/KMS Migration Unit (CMU)</t>
        </is>
      </c>
      <c r="B11" s="15">
        <f>UNITS!N21+UNITS!O21+UNITS!P21</f>
        <v/>
      </c>
      <c r="C11" s="63">
        <f>B11/UNITS!Z23</f>
        <v/>
      </c>
      <c r="E11" s="5" t="inlineStr">
        <is>
          <t>CMU: PKI/KMS infrastructure. High tooling (HSMs).</t>
        </is>
      </c>
    </row>
    <row r="12">
      <c r="A12" s="12" t="inlineStr">
        <is>
          <t>Data &amp; Storage Migration Unit (DMU)</t>
        </is>
      </c>
      <c r="B12" s="15">
        <f>UNITS!Q21+UNITS!R21+UNITS!S21</f>
        <v/>
      </c>
      <c r="C12" s="63">
        <f>B12/UNITS!Z23</f>
        <v/>
      </c>
      <c r="E12" s="5" t="inlineStr">
        <is>
          <t>DMU: Data re-encryption. Timeline-sensitive.</t>
        </is>
      </c>
    </row>
    <row r="13">
      <c r="A13" s="12" t="inlineStr">
        <is>
          <t>DevSecOps &amp; Automation Unit (DAU)</t>
        </is>
      </c>
      <c r="B13" s="15">
        <f>UNITS!T21+UNITS!U21+UNITS!V21</f>
        <v/>
      </c>
      <c r="C13" s="63">
        <f>B13/UNITS!Z23</f>
        <v/>
      </c>
      <c r="E13" s="5" t="inlineStr">
        <is>
          <t>DAU: CI/CD pipeline integration. Small cost, high impact.</t>
        </is>
      </c>
    </row>
    <row r="14">
      <c r="A14" s="12" t="inlineStr">
        <is>
          <t>Vendor / Third-Party Unit (VTU)</t>
        </is>
      </c>
      <c r="B14" s="15">
        <f>UNITS!W21+UNITS!X21+UNITS!Y21</f>
        <v/>
      </c>
      <c r="C14" s="63">
        <f>B14/UNITS!Z23</f>
        <v/>
      </c>
      <c r="E14" s="5" t="inlineStr">
        <is>
          <t>VTU: Vendor coordination. PM-heavy.</t>
        </is>
      </c>
    </row>
    <row r="15">
      <c r="A15" s="17" t="inlineStr">
        <is>
          <t>Subtotal (all units)</t>
        </is>
      </c>
      <c r="B15" s="52">
        <f>SUM(B7:B14)</f>
        <v/>
      </c>
      <c r="C15" s="21" t="n"/>
    </row>
    <row r="16">
      <c r="A16" s="12" t="inlineStr">
        <is>
          <t>Central Governance &amp; Enablement</t>
        </is>
      </c>
      <c r="B16" s="15">
        <f>UNITS!Z24</f>
        <v/>
      </c>
      <c r="C16" s="21" t="n"/>
    </row>
    <row r="17">
      <c r="A17" s="12" t="inlineStr">
        <is>
          <t>Maturity Adjustment</t>
        </is>
      </c>
      <c r="B17" s="15">
        <f>UNITS!Z25</f>
        <v/>
      </c>
      <c r="C17" s="21" t="n"/>
    </row>
    <row r="18">
      <c r="A18" s="28" t="inlineStr">
        <is>
          <t>TOTAL SPEND</t>
        </is>
      </c>
      <c r="B18" s="56">
        <f>B15+B16+B17</f>
        <v/>
      </c>
      <c r="C18" s="21" t="n"/>
    </row>
    <row r="20">
      <c r="A20" s="10" t="inlineStr">
        <is>
          <t>ANNUAL COST FORECAST</t>
        </is>
      </c>
      <c r="B20" s="10" t="n"/>
      <c r="C20" s="10" t="n"/>
      <c r="D20" s="10" t="n"/>
      <c r="E20" s="4" t="inlineStr">
        <is>
          <t>ANNUAL COST FORECAST</t>
        </is>
      </c>
    </row>
    <row r="21">
      <c r="A21" s="11" t="inlineStr">
        <is>
          <t>Year</t>
        </is>
      </c>
      <c r="B21" s="11" t="inlineStr">
        <is>
          <t>Annual Cost (USD)</t>
        </is>
      </c>
      <c r="C21" s="11" t="inlineStr">
        <is>
          <t>Cumulative Cost</t>
        </is>
      </c>
      <c r="D21" s="11" t="inlineStr">
        <is>
          <t>Peak FTE</t>
        </is>
      </c>
      <c r="E21" s="5" t="inlineStr">
        <is>
          <t>Annual Cost: What's needed that year.
Cumulative: Running total.
Peak FTE: Average team size.
Use for annual budget requests and resource planning.</t>
        </is>
      </c>
    </row>
    <row r="22">
      <c r="A22" s="12" t="inlineStr">
        <is>
          <t>Year 1</t>
        </is>
      </c>
      <c r="B22" s="15">
        <f>TIMELINE!B27</f>
        <v/>
      </c>
      <c r="C22" s="15">
        <f>B22</f>
        <v/>
      </c>
      <c r="D22" s="57">
        <f>TIMELINE!B32</f>
        <v/>
      </c>
    </row>
    <row r="23">
      <c r="A23" s="12" t="inlineStr">
        <is>
          <t>Year 2</t>
        </is>
      </c>
      <c r="B23" s="15">
        <f>TIMELINE!C27</f>
        <v/>
      </c>
      <c r="C23" s="15">
        <f>C22+B23</f>
        <v/>
      </c>
      <c r="D23" s="57">
        <f>TIMELINE!C32</f>
        <v/>
      </c>
    </row>
    <row r="24">
      <c r="A24" s="12" t="inlineStr">
        <is>
          <t>Year 3</t>
        </is>
      </c>
      <c r="B24" s="15">
        <f>TIMELINE!D27</f>
        <v/>
      </c>
      <c r="C24" s="15">
        <f>C23+B24</f>
        <v/>
      </c>
      <c r="D24" s="57">
        <f>TIMELINE!D32</f>
        <v/>
      </c>
    </row>
    <row r="25">
      <c r="A25" s="12" t="inlineStr">
        <is>
          <t>Year 4</t>
        </is>
      </c>
      <c r="B25" s="15">
        <f>TIMELINE!E27</f>
        <v/>
      </c>
      <c r="C25" s="15">
        <f>C24+B25</f>
        <v/>
      </c>
      <c r="D25" s="57">
        <f>TIMELINE!E32</f>
        <v/>
      </c>
    </row>
    <row r="26">
      <c r="A26" s="12" t="inlineStr">
        <is>
          <t>Year 5</t>
        </is>
      </c>
      <c r="B26" s="15">
        <f>TIMELINE!F27</f>
        <v/>
      </c>
      <c r="C26" s="15">
        <f>C25+B26</f>
        <v/>
      </c>
      <c r="D26" s="57">
        <f>TIMELINE!F32</f>
        <v/>
      </c>
    </row>
    <row r="27">
      <c r="A27" s="12" t="inlineStr">
        <is>
          <t>Year 6</t>
        </is>
      </c>
      <c r="B27" s="15">
        <f>TIMELINE!G27</f>
        <v/>
      </c>
      <c r="C27" s="15">
        <f>C26+B27</f>
        <v/>
      </c>
      <c r="D27" s="57">
        <f>TIMELINE!G32</f>
        <v/>
      </c>
    </row>
    <row r="28">
      <c r="A28" s="12" t="inlineStr">
        <is>
          <t>Year 7</t>
        </is>
      </c>
      <c r="B28" s="15">
        <f>TIMELINE!H27</f>
        <v/>
      </c>
      <c r="C28" s="15">
        <f>C27+B28</f>
        <v/>
      </c>
      <c r="D28" s="57">
        <f>TIMELINE!H32</f>
        <v/>
      </c>
    </row>
    <row r="30">
      <c r="A30" s="10" t="inlineStr">
        <is>
          <t>KEY ASSUMPTIONS &amp; PARAMETERS</t>
        </is>
      </c>
      <c r="B30" s="10" t="n"/>
      <c r="E30" s="4" t="inlineStr">
        <is>
          <t>KEY ASSUMPTIONS</t>
        </is>
      </c>
    </row>
    <row r="31">
      <c r="A31" s="17" t="inlineStr">
        <is>
          <t>Total Applications</t>
        </is>
      </c>
      <c r="B31" s="64">
        <f>INPUT!B24</f>
        <v/>
      </c>
      <c r="E31" s="5" t="inlineStr">
        <is>
          <t>Critical inputs driving the estimate:
  Total Apps: +/-10% apps = +/-10% AMU cost
  Complexity: All-Low (1.0x) vs All-High (2.0x)
  Learning Curve: At 0.41 = 59% savings
  Risk: 15-25% range
  Maturity: Score 2.6 avg = 1.0x (no change)</t>
        </is>
      </c>
    </row>
    <row r="32">
      <c r="A32" s="17" t="inlineStr">
        <is>
          <t>Complexity Multiplier</t>
        </is>
      </c>
      <c r="B32" s="20">
        <f>INPUT!G17</f>
        <v/>
      </c>
    </row>
    <row r="33">
      <c r="A33" s="17" t="inlineStr">
        <is>
          <t>Maturity Multiplier</t>
        </is>
      </c>
      <c r="B33" s="20">
        <f>CONFIG!B38</f>
        <v/>
      </c>
    </row>
    <row r="34">
      <c r="A34" s="17" t="inlineStr">
        <is>
          <t>Risk Contingency</t>
        </is>
      </c>
      <c r="B34" s="32">
        <f>CONFIG!B27</f>
        <v/>
      </c>
    </row>
    <row r="35">
      <c r="A35" s="17" t="inlineStr">
        <is>
          <t>CG&amp;E %</t>
        </is>
      </c>
      <c r="B35" s="32">
        <f>CONFIG!B28</f>
        <v/>
      </c>
    </row>
    <row r="36">
      <c r="A36" s="17" t="inlineStr">
        <is>
          <t>AMU Learning Curve (blended factor)</t>
        </is>
      </c>
      <c r="B36" s="36">
        <f>UNITS!H10</f>
        <v/>
      </c>
    </row>
    <row r="37">
      <c r="A37" s="17" t="inlineStr">
        <is>
          <t>Average Blended FTE Rate</t>
        </is>
      </c>
      <c r="B37" s="15">
        <f>AVERAGE(CONFIG!G16:CONFIG!G23)</f>
        <v/>
      </c>
    </row>
    <row r="38">
      <c r="A38" s="17" t="inlineStr">
        <is>
          <t>Program Duration</t>
        </is>
      </c>
      <c r="B38" s="9" t="inlineStr">
        <is>
          <t>7 years</t>
        </is>
      </c>
    </row>
    <row r="40">
      <c r="A40" s="24" t="inlineStr">
        <is>
          <t>COMPLETE COST BUILD-UP: How the Total is Constructed</t>
        </is>
      </c>
      <c r="B40" s="24" t="n"/>
      <c r="C40" s="24" t="n"/>
      <c r="D40" s="24" t="n"/>
      <c r="E40" s="24" t="n"/>
    </row>
    <row r="41">
      <c r="A41" s="25" t="inlineStr">
        <is>
          <t>LAYER 1: Per-Application Effort</t>
        </is>
      </c>
    </row>
    <row r="42">
      <c r="A42" s="26" t="inlineStr">
        <is>
          <t xml:space="preserve">  6 app archetypes: 0.6 to 4.0 FTE-months</t>
        </is>
      </c>
      <c r="D42" s="26" t="inlineStr">
        <is>
          <t>Weighted average = 1.55 FTE-months/app</t>
        </is>
      </c>
    </row>
    <row r="43">
      <c r="A43" s="26" t="inlineStr">
        <is>
          <t xml:space="preserve">  Complexity multiplier (all Low = 1.0x)</t>
        </is>
      </c>
      <c r="D43" s="26" t="inlineStr">
        <is>
          <t>1.55 x 1.0 = 1.55 FTE-months/app</t>
        </is>
      </c>
    </row>
    <row r="44">
      <c r="A44" s="26" t="inlineStr"/>
    </row>
    <row r="45">
      <c r="A45" s="25" t="inlineStr">
        <is>
          <t>LAYER 2: Learning Curve (AMU only)</t>
        </is>
      </c>
    </row>
    <row r="46">
      <c r="A46" s="26" t="inlineStr">
        <is>
          <t xml:space="preserve">  8,000 apps across 5 waves: 1.5x to 0.30x</t>
        </is>
      </c>
      <c r="D46" s="26" t="inlineStr">
        <is>
          <t>Blended factor = 0.4119</t>
        </is>
      </c>
    </row>
    <row r="47">
      <c r="A47" s="26" t="inlineStr">
        <is>
          <t xml:space="preserve">  Effective effort: 1.55 x 0.4119 = 0.638 (Small)</t>
        </is>
      </c>
      <c r="D47" s="26" t="inlineStr">
        <is>
          <t>59% cost reduction from scale/automation</t>
        </is>
      </c>
    </row>
    <row r="48">
      <c r="A48" s="26" t="inlineStr"/>
    </row>
    <row r="49">
      <c r="A49" s="25" t="inlineStr">
        <is>
          <t>LAYER 3: Enterprise Cost Model (UNITS)</t>
        </is>
      </c>
    </row>
    <row r="50">
      <c r="A50" s="26" t="inlineStr">
        <is>
          <t xml:space="preserve">  8 unit types x Small/Medium/Large sizing</t>
        </is>
      </c>
      <c r="D50" s="26" t="inlineStr">
        <is>
          <t>Counts from INPUT, efforts from ESTIMATE/CONFIG</t>
        </is>
      </c>
    </row>
    <row r="51">
      <c r="A51" s="26" t="inlineStr">
        <is>
          <t xml:space="preserve">  Labour = Count x Eff Effort x Blended Rate</t>
        </is>
      </c>
      <c r="D51" s="26" t="inlineStr">
        <is>
          <t>$13,110/mo for AMU, varies by unit</t>
        </is>
      </c>
    </row>
    <row r="52">
      <c r="A52" s="26" t="inlineStr">
        <is>
          <t xml:space="preserve">  + Tooling overhead (0-20%)</t>
        </is>
      </c>
      <c r="D52" s="26" t="inlineStr">
        <is>
          <t>CMU 20% (HSMs), AMU 15%</t>
        </is>
      </c>
    </row>
    <row r="53">
      <c r="A53" s="26" t="inlineStr">
        <is>
          <t xml:space="preserve">  + Risk contingency (20%)</t>
        </is>
      </c>
      <c r="D53" s="26" t="inlineStr">
        <is>
          <t>Covers unknowns and surprises</t>
        </is>
      </c>
    </row>
    <row r="54">
      <c r="A54" s="26" t="inlineStr">
        <is>
          <t xml:space="preserve">  = Unit Totals across all types</t>
        </is>
      </c>
      <c r="D54" s="26" t="inlineStr">
        <is>
          <t>Grand Total = $183,689,377</t>
        </is>
      </c>
    </row>
    <row r="55">
      <c r="A55" s="26" t="inlineStr"/>
    </row>
    <row r="56">
      <c r="A56" s="25" t="inlineStr">
        <is>
          <t>LAYER 4: Program-Level Adjustments</t>
        </is>
      </c>
    </row>
    <row r="57">
      <c r="A57" s="26" t="inlineStr">
        <is>
          <t xml:space="preserve">  + CG&amp;E (10% of Grand Total)</t>
        </is>
      </c>
      <c r="D57" s="26" t="inlineStr">
        <is>
          <t>​+ $18,368,938</t>
        </is>
      </c>
    </row>
    <row r="58">
      <c r="A58" s="26" t="inlineStr">
        <is>
          <t xml:space="preserve">  + Maturity (1.0x = $0 adjustment)</t>
        </is>
      </c>
      <c r="D58" s="26" t="inlineStr">
        <is>
          <t>Would be +$21M at 1.15x</t>
        </is>
      </c>
    </row>
    <row r="59">
      <c r="A59" s="26" t="inlineStr"/>
    </row>
    <row r="60">
      <c r="A60" s="25" t="inlineStr">
        <is>
          <t>FINAL: TOTAL SPEND</t>
        </is>
      </c>
      <c r="D60" s="26" t="inlineStr">
        <is>
          <t>$202,058,314</t>
        </is>
      </c>
    </row>
    <row r="61">
      <c r="A61" s="26" t="inlineStr"/>
    </row>
    <row r="62">
      <c r="A62" s="25" t="inlineStr">
        <is>
          <t>SENSITIVITY:</t>
        </is>
      </c>
    </row>
    <row r="63">
      <c r="A63" s="26" t="inlineStr">
        <is>
          <t xml:space="preserve">  Complexity all Medium (1.5x): ~$303M (+50%)</t>
        </is>
      </c>
      <c r="D63" s="26" t="inlineStr">
        <is>
          <t>Doubling complexity nearly doubles cost</t>
        </is>
      </c>
    </row>
    <row r="64">
      <c r="A64" s="26" t="inlineStr">
        <is>
          <t xml:space="preserve">  No learning curve (all 1.0x): ~$440M (+118%)</t>
        </is>
      </c>
      <c r="D64" s="26" t="inlineStr">
        <is>
          <t>Scale economies are the biggest factor</t>
        </is>
      </c>
    </row>
    <row r="65">
      <c r="A65" s="26" t="inlineStr">
        <is>
          <t xml:space="preserve">  10,000 apps instead of 8,000: ~$240M (+19%)</t>
        </is>
      </c>
      <c r="D65" s="26" t="inlineStr">
        <is>
          <t>Mostly linear in app count</t>
        </is>
      </c>
    </row>
    <row r="66">
      <c r="A66" s="26" t="inlineStr">
        <is>
          <t xml:space="preserve">  Maturity avg = 2.0 (1.15x): ~$223M (+10%)</t>
        </is>
      </c>
      <c r="D66" s="26" t="inlineStr">
        <is>
          <t>Immature orgs pay more</t>
        </is>
      </c>
    </row>
  </sheetData>
  <mergeCells count="2">
    <mergeCell ref="A1:D1"/>
    <mergeCell ref="A40:E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2026-03-11T07:16:07Z</dcterms:created>
  <dcterms:modified xmlns:dcterms="http://purl.org/dc/terms/" xmlns:xsi="http://www.w3.org/2001/XMLSchema-instance" xsi:type="dcterms:W3CDTF">2026-03-11T07:16:07Z</dcterms:modified>
</cp:coreProperties>
</file>